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청별 요약" sheetId="2" state="visible" r:id="rId2"/>
    <sheet name="부서별 정원" sheetId="3" state="visible" r:id="rId3"/>
    <sheet name="조직·업무" sheetId="4" state="visible" r:id="rId4"/>
    <sheet name="관할구역" sheetId="5" state="visible" r:id="rId5"/>
    <sheet name="법령 목록" sheetId="6" state="visible" r:id="rId6"/>
    <sheet name="내 보관함" sheetId="7" state="visible" r:id="rId7"/>
    <sheet name="타기관 충원" sheetId="8" state="visible" r:id="rId8"/>
  </sheets>
  <definedNames>
    <definedName name="_xlnm._FilterDatabase" localSheetId="2" hidden="1">'부서별 정원'!$A$1:$N$45</definedName>
    <definedName name="_xlnm._FilterDatabase" localSheetId="3" hidden="1">'조직·업무'!$A$1:$J$181</definedName>
    <definedName name="_xlnm._FilterDatabase" localSheetId="5" hidden="1">'법령 목록'!$A$1:$G$56</definedName>
    <definedName name="_xlnm._FilterDatabase" localSheetId="6" hidden="1">'내 보관함'!$A$1:$F$102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;-0;&quot;-&quot;"/>
    <numFmt numFmtId="165" formatCode="0;-0;&quot;✓&quot;"/>
  </numFmts>
  <fonts count="13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color rgb="000000FF"/>
      <sz val="10"/>
    </font>
    <font>
      <name val="맑은 고딕"/>
      <color rgb="006E7886"/>
      <sz val="9"/>
    </font>
    <font>
      <name val="맑은 고딕"/>
      <color rgb="00008000"/>
      <sz val="10"/>
    </font>
    <font>
      <name val="맑은 고딕"/>
      <b val="1"/>
      <color rgb="009B2C2C"/>
      <sz val="10"/>
    </font>
    <font>
      <name val="맑은 고딕"/>
      <color rgb="001F5E8C"/>
      <sz val="10"/>
      <u val="single"/>
    </font>
    <font>
      <name val="맑은 고딕"/>
      <b val="1"/>
      <color rgb="006E7886"/>
      <sz val="10"/>
    </font>
    <font>
      <name val="맑은 고딕"/>
      <b val="1"/>
      <color rgb="001F5E8C"/>
      <sz val="10"/>
    </font>
    <font>
      <name val="맑은 고딕"/>
      <i val="1"/>
      <color rgb="006E7886"/>
      <sz val="10"/>
    </font>
  </fonts>
  <fills count="5">
    <fill>
      <patternFill/>
    </fill>
    <fill>
      <patternFill patternType="gray125"/>
    </fill>
    <fill>
      <patternFill patternType="solid">
        <fgColor rgb="001F5E8C"/>
      </patternFill>
    </fill>
    <fill>
      <patternFill patternType="solid">
        <fgColor rgb="00FFFBE6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BCC4CE"/>
      </left>
      <right style="thin">
        <color rgb="00BCC4CE"/>
      </right>
      <top style="thin">
        <color rgb="00BCC4CE"/>
      </top>
      <bottom style="thin">
        <color rgb="00BCC4C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1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164" fontId="5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정리표</author>
  </authors>
  <commentList>
    <comment ref="A1" authorId="0" shapeId="0">
      <text>
        <t>2행은 형식 예시입니다. 3행부터 입력하세요. 분류·관련 분야는 목록에서 고릅니다.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law.go.kr/lsSc.do?menuId=1&amp;query=%EC%A4%91%EB%8C%80%EB%B2%94%EC%A3%84%EC%88%98%EC%82%AC%EC%B2%AD%20%EC%A1%B0%EC%A7%81%20%EB%B0%8F%20%EC%9A%B4%EC%98%81%EC%97%90%20%EA%B4%80%ED%95%9C%20%EB%B2%95%EB%A5%A0" TargetMode="External" Id="rId1" /><Relationship Type="http://schemas.openxmlformats.org/officeDocument/2006/relationships/hyperlink" Target="https://www.law.go.kr/lsSc.do?menuId=1&amp;query=%EC%A4%91%EB%8C%80%EB%B2%94%EC%A3%84%EC%88%98%EC%82%AC%EC%B2%AD%20%EC%A1%B0%EC%A7%81%20%EB%B0%8F%20%EC%9A%B4%EC%98%81%EC%97%90%20%EA%B4%80%ED%95%9C%20%EB%B2%95%EB%A5%A0%20%EC%8B%9C%ED%96%89%EB%A0%B9" TargetMode="External" Id="rId2" /><Relationship Type="http://schemas.openxmlformats.org/officeDocument/2006/relationships/hyperlink" Target="https://www.law.go.kr/lsSc.do?menuId=1&amp;query=%EC%A4%91%EB%8C%80%EB%B2%94%EC%A3%84%EC%88%98%EC%82%AC%EC%B2%AD%EA%B3%BC%20%EA%B7%B8%20%EC%86%8C%EC%86%8D%EA%B8%B0%EA%B4%80%20%EC%A7%81%EC%A0%9C" TargetMode="External" Id="rId3" /><Relationship Type="http://schemas.openxmlformats.org/officeDocument/2006/relationships/hyperlink" Target="https://www.law.go.kr/lsSc.do?menuId=1&amp;query=%EC%A4%91%EB%8C%80%EB%B2%94%EC%A3%84%EC%88%98%EC%82%AC%EC%B2%AD%EA%B3%BC%20%EA%B7%B8%20%EC%86%8C%EC%86%8D%EA%B8%B0%EA%B4%80%20%EC%A7%81%EC%A0%9C%20%EC%8B%9C%ED%96%89%EA%B7%9C%EC%B9%99" TargetMode="External" Id="rId4" /><Relationship Type="http://schemas.openxmlformats.org/officeDocument/2006/relationships/hyperlink" Target="https://www.law.go.kr/lsSc.do?menuId=1&amp;query=%EC%A4%91%EB%8C%80%EB%B2%94%EC%A3%84%EC%88%98%EC%82%AC%EC%B2%AD%EC%88%98%EC%82%AC%EA%B4%80%20%EC%9E%84%EC%9A%A9%EB%A0%B9" TargetMode="External" Id="rId5" /><Relationship Type="http://schemas.openxmlformats.org/officeDocument/2006/relationships/hyperlink" Target="https://www.law.go.kr/admRulSc.do?menuId=5&amp;query=%EC%A4%91%EB%8C%80%EB%B2%94%EC%A3%84%EC%88%98%EC%82%AC%EC%B2%AD%20%EA%B0%9C%EC%B2%AD%EC%A4%80%EB%B9%84%EB%8B%A8%20%EC%84%A4%EC%B9%98%20%EB%B0%8F%20%EC%9A%B4%EC%98%81%EC%97%90%20%EA%B4%80%ED%95%9C%20%EA%B7%9C%EC%A0%95" TargetMode="External" Id="rId6" /><Relationship Type="http://schemas.openxmlformats.org/officeDocument/2006/relationships/hyperlink" Target="https://www.law.go.kr/lsSc.do?menuId=1&amp;query=%EA%B5%AD%EA%B0%80%EA%B3%B5%EB%AC%B4%EC%9B%90%EB%B2%95" TargetMode="External" Id="rId7" /><Relationship Type="http://schemas.openxmlformats.org/officeDocument/2006/relationships/hyperlink" Target="https://www.law.go.kr/lsSc.do?menuId=1&amp;query=%EA%B3%B5%EB%AC%B4%EC%9B%90%EC%9E%84%EC%9A%A9%EB%A0%B9" TargetMode="External" Id="rId8" /><Relationship Type="http://schemas.openxmlformats.org/officeDocument/2006/relationships/hyperlink" Target="https://www.law.go.kr/lsSc.do?menuId=1&amp;query=%EA%B5%AD%EA%B0%80%EA%B3%B5%EB%AC%B4%EC%9B%90%20%EB%B3%B5%EB%AC%B4%EA%B7%9C%EC%A0%95" TargetMode="External" Id="rId9" /><Relationship Type="http://schemas.openxmlformats.org/officeDocument/2006/relationships/hyperlink" Target="https://www.law.go.kr/lsSc.do?menuId=1&amp;query=%EA%B3%B5%EB%AC%B4%EC%9B%90%20%EC%A7%95%EA%B3%84%EB%A0%B9" TargetMode="External" Id="rId10" /><Relationship Type="http://schemas.openxmlformats.org/officeDocument/2006/relationships/hyperlink" Target="https://www.law.go.kr/lsSc.do?menuId=1&amp;query=%EA%B3%B5%EB%AC%B4%EC%9B%90%20%ED%96%89%EB%8F%99%EA%B0%95%EB%A0%B9" TargetMode="External" Id="rId11" /><Relationship Type="http://schemas.openxmlformats.org/officeDocument/2006/relationships/hyperlink" Target="https://www.law.go.kr/lsSc.do?menuId=1&amp;query=%EA%B3%B5%EC%A7%81%EC%9E%90%EC%9D%98%20%EC%9D%B4%ED%95%B4%EC%B6%A9%EB%8F%8C%20%EB%B0%A9%EC%A7%80%EB%B2%95" TargetMode="External" Id="rId12" /><Relationship Type="http://schemas.openxmlformats.org/officeDocument/2006/relationships/hyperlink" Target="https://www.law.go.kr/lsSc.do?menuId=1&amp;query=%EB%B6%80%EC%A0%95%EC%B2%AD%ED%83%81%20%EB%B0%8F%20%EA%B8%88%ED%92%88%EB%93%B1%20%EC%88%98%EC%88%98%EC%9D%98%20%EA%B8%88%EC%A7%80%EC%97%90%20%EA%B4%80%ED%95%9C%20%EB%B2%95%EB%A5%A0" TargetMode="External" Id="rId13" /><Relationship Type="http://schemas.openxmlformats.org/officeDocument/2006/relationships/hyperlink" Target="https://www.law.go.kr/lsSc.do?menuId=1&amp;query=%EA%B3%B5%EC%A7%81%EC%9E%90%EC%9C%A4%EB%A6%AC%EB%B2%95" TargetMode="External" Id="rId14" /><Relationship Type="http://schemas.openxmlformats.org/officeDocument/2006/relationships/hyperlink" Target="https://www.law.go.kr/lsSc.do?menuId=1&amp;query=%EA%B3%B5%EB%AC%B4%EC%9B%90%EB%B3%B4%EC%88%98%EA%B7%9C%EC%A0%95" TargetMode="External" Id="rId15" /><Relationship Type="http://schemas.openxmlformats.org/officeDocument/2006/relationships/hyperlink" Target="https://www.law.go.kr/lsSc.do?menuId=1&amp;query=%EA%B3%B5%EB%AC%B4%EC%9B%90%EC%88%98%EB%8B%B9%20%EB%93%B1%EC%97%90%20%EA%B4%80%ED%95%9C%20%EA%B7%9C%EC%A0%95" TargetMode="External" Id="rId16" /><Relationship Type="http://schemas.openxmlformats.org/officeDocument/2006/relationships/hyperlink" Target="https://www.law.go.kr/lsSc.do?menuId=1&amp;query=%EA%B3%B5%EB%AC%B4%EC%9B%90%EC%97%B0%EA%B8%88%EB%B2%95" TargetMode="External" Id="rId17" /><Relationship Type="http://schemas.openxmlformats.org/officeDocument/2006/relationships/hyperlink" Target="https://www.law.go.kr/lsSc.do?menuId=1&amp;query=%EA%B3%B5%EB%AC%B4%EC%9B%90%20%EC%9D%B8%EC%82%AC%EA%B8%B0%EB%A1%9D%C2%B7%ED%86%B5%EA%B3%84%20%EB%B0%8F%20%EC%9D%B8%EC%82%AC%EC%82%AC%EB%AC%B4%20%EC%B2%98%EB%A6%AC%20%EA%B7%9C%EC%A0%95" TargetMode="External" Id="rId18" /><Relationship Type="http://schemas.openxmlformats.org/officeDocument/2006/relationships/hyperlink" Target="https://www.law.go.kr/lsSc.do?menuId=1&amp;query=%EA%B3%B5%EB%AC%B4%EC%9B%90%20%EC%9D%B8%EC%9E%AC%EA%B0%9C%EB%B0%9C%EB%B2%95" TargetMode="External" Id="rId19" /><Relationship Type="http://schemas.openxmlformats.org/officeDocument/2006/relationships/hyperlink" Target="https://www.law.go.kr/lsSc.do?menuId=1&amp;query=%ED%98%95%EC%82%AC%EC%86%8C%EC%86%A1%EB%B2%95" TargetMode="External" Id="rId20" /><Relationship Type="http://schemas.openxmlformats.org/officeDocument/2006/relationships/hyperlink" Target="https://www.law.go.kr/lsSc.do?menuId=1&amp;query=%ED%98%95%EC%82%AC%EC%86%8C%EC%86%A1%EA%B7%9C%EC%B9%99" TargetMode="External" Id="rId21" /><Relationship Type="http://schemas.openxmlformats.org/officeDocument/2006/relationships/hyperlink" Target="https://www.law.go.kr/lsSc.do?menuId=1&amp;query=%EA%B2%80%EC%82%AC%EC%99%80%20%EC%82%AC%EB%B2%95%EA%B2%BD%EC%B0%B0%EA%B4%80%EC%9D%98%20%EC%83%81%ED%98%B8%ED%98%91%EB%A0%A5%EA%B3%BC%20%EC%9D%BC%EB%B0%98%EC%A0%81%20%EC%88%98%EC%82%AC%EC%A4%80%EC%B9%99%EC%97%90%20%EA%B4%80%ED%95%9C%20%EA%B7%9C%EC%A0%95" TargetMode="External" Id="rId22" /><Relationship Type="http://schemas.openxmlformats.org/officeDocument/2006/relationships/hyperlink" Target="https://www.law.go.kr/lsSc.do?menuId=1&amp;query=%EA%B3%B5%EC%86%8C%EC%B2%AD%EB%B2%95" TargetMode="External" Id="rId23" /><Relationship Type="http://schemas.openxmlformats.org/officeDocument/2006/relationships/hyperlink" Target="https://www.law.go.kr/lsSc.do?menuId=1&amp;query=%ED%98%95%EC%82%AC%EC%82%AC%EB%B2%95%EC%A0%88%EC%B0%A8%20%EC%A0%84%EC%9E%90%ED%99%94%20%EC%B4%89%EC%A7%84%EB%B2%95" TargetMode="External" Id="rId24" /><Relationship Type="http://schemas.openxmlformats.org/officeDocument/2006/relationships/hyperlink" Target="https://www.law.go.kr/lsSc.do?menuId=1&amp;query=%ED%86%B5%EC%8B%A0%EB%B9%84%EB%B0%80%EB%B3%B4%ED%98%B8%EB%B2%95" TargetMode="External" Id="rId25" /><Relationship Type="http://schemas.openxmlformats.org/officeDocument/2006/relationships/hyperlink" Target="https://www.law.go.kr/lsSc.do?menuId=1&amp;query=%EB%B2%94%EC%A3%84%EC%88%98%EC%9D%B5%EC%9D%80%EB%8B%89%EC%9D%98%20%EA%B7%9C%EC%A0%9C%20%EB%B0%8F%20%EC%B2%98%EB%B2%8C%20%EB%93%B1%EC%97%90%20%EA%B4%80%ED%95%9C%20%EB%B2%95%EB%A5%A0" TargetMode="External" Id="rId26" /><Relationship Type="http://schemas.openxmlformats.org/officeDocument/2006/relationships/hyperlink" Target="https://www.law.go.kr/lsSc.do?menuId=1&amp;query=%ED%98%95%EC%9D%98%20%EC%A7%91%ED%96%89%20%EB%B0%8F%20%EC%88%98%EC%9A%A9%EC%9E%90%EC%9D%98%20%EC%B2%98%EC%9A%B0%EC%97%90%20%EA%B4%80%ED%95%9C%20%EB%B2%95%EB%A5%A0" TargetMode="External" Id="rId27" /><Relationship Type="http://schemas.openxmlformats.org/officeDocument/2006/relationships/hyperlink" Target="https://www.law.go.kr/lsSc.do?menuId=1&amp;query=%ED%98%95%EB%B2%95" TargetMode="External" Id="rId28" /><Relationship Type="http://schemas.openxmlformats.org/officeDocument/2006/relationships/hyperlink" Target="https://www.law.go.kr/lsSc.do?menuId=1&amp;query=%ED%8A%B9%EC%A0%95%EB%B2%94%EC%A3%84%20%EA%B0%80%EC%A4%91%EC%B2%98%EB%B2%8C%20%EB%93%B1%EC%97%90%20%EA%B4%80%ED%95%9C%20%EB%B2%95%EB%A5%A0" TargetMode="External" Id="rId29" /><Relationship Type="http://schemas.openxmlformats.org/officeDocument/2006/relationships/hyperlink" Target="https://www.law.go.kr/lsSc.do?menuId=1&amp;query=%ED%8A%B9%EC%A0%95%EA%B2%BD%EC%A0%9C%EB%B2%94%EC%A3%84%20%EA%B0%80%EC%A4%91%EC%B2%98%EB%B2%8C%20%EB%93%B1%EC%97%90%20%EA%B4%80%ED%95%9C%20%EB%B2%95%EB%A5%A0" TargetMode="External" Id="rId30" /><Relationship Type="http://schemas.openxmlformats.org/officeDocument/2006/relationships/hyperlink" Target="https://www.law.go.kr/lsSc.do?menuId=1&amp;query=%EC%9E%90%EB%B3%B8%EC%8B%9C%EC%9E%A5%EA%B3%BC%20%EA%B8%88%EC%9C%B5%ED%88%AC%EC%9E%90%EC%97%85%EC%97%90%20%EA%B4%80%ED%95%9C%20%EB%B2%95%EB%A5%A0" TargetMode="External" Id="rId31" /><Relationship Type="http://schemas.openxmlformats.org/officeDocument/2006/relationships/hyperlink" Target="https://www.law.go.kr/lsSc.do?menuId=1&amp;query=%EA%B0%80%EC%83%81%EC%9E%90%EC%82%B0%20%EC%9D%B4%EC%9A%A9%EC%9E%90%20%EB%B3%B4%ED%98%B8%20%EB%93%B1%EC%97%90%20%EA%B4%80%ED%95%9C%20%EB%B2%95%EB%A5%A0" TargetMode="External" Id="rId32" /><Relationship Type="http://schemas.openxmlformats.org/officeDocument/2006/relationships/hyperlink" Target="https://www.law.go.kr/lsSc.do?menuId=1&amp;query=%EB%8F%85%EC%A0%90%EA%B7%9C%EC%A0%9C%20%EB%B0%8F%20%EA%B3%B5%EC%A0%95%EA%B1%B0%EB%9E%98%EC%97%90%20%EA%B4%80%ED%95%9C%20%EB%B2%95%EB%A5%A0" TargetMode="External" Id="rId33" /><Relationship Type="http://schemas.openxmlformats.org/officeDocument/2006/relationships/hyperlink" Target="https://www.law.go.kr/lsSc.do?menuId=1&amp;query=%EB%A7%88%EC%95%BD%EB%A5%98%20%EA%B4%80%EB%A6%AC%EC%97%90%20%EA%B4%80%ED%95%9C%20%EB%B2%95%EB%A5%A0" TargetMode="External" Id="rId34" /><Relationship Type="http://schemas.openxmlformats.org/officeDocument/2006/relationships/hyperlink" Target="https://www.law.go.kr/lsSc.do?menuId=1&amp;query=%EC%A0%84%EA%B8%B0%ED%86%B5%EC%8B%A0%EA%B8%88%EC%9C%B5%EC%82%AC%EA%B8%B0%20%ED%94%BC%ED%95%B4%20%EB%B0%A9%EC%A7%80%20%EB%B0%8F%20%ED%94%BC%ED%95%B4%EC%9E%90%EC%82%B0%20%ED%99%98%EA%B8%89%EC%97%90%20%EA%B4%80%ED%95%9C%20%ED%8A%B9%EB%B3%84%EB%B2%95" TargetMode="External" Id="rId35" /><Relationship Type="http://schemas.openxmlformats.org/officeDocument/2006/relationships/hyperlink" Target="https://www.law.go.kr/lsSc.do?menuId=1&amp;query=%EC%A0%84%EC%9E%90%EA%B8%88%EC%9C%B5%EA%B1%B0%EB%9E%98%EB%B2%95" TargetMode="External" Id="rId36" /><Relationship Type="http://schemas.openxmlformats.org/officeDocument/2006/relationships/hyperlink" Target="https://www.law.go.kr/lsSc.do?menuId=1&amp;query=%EB%B0%A9%EC%9C%84%EC%82%B0%EC%97%85%EA%B8%B0%EC%88%A0%20%EB%B3%B4%ED%98%B8%EB%B2%95" TargetMode="External" Id="rId37" /><Relationship Type="http://schemas.openxmlformats.org/officeDocument/2006/relationships/hyperlink" Target="https://www.law.go.kr/lsSc.do?menuId=1&amp;query=%EA%B5%B0%EC%82%AC%EA%B8%B0%EB%B0%80%20%EB%B3%B4%ED%98%B8%EB%B2%95" TargetMode="External" Id="rId38" /><Relationship Type="http://schemas.openxmlformats.org/officeDocument/2006/relationships/hyperlink" Target="https://www.law.go.kr/lsSc.do?menuId=1&amp;query=%EC%82%B0%EC%97%85%EA%B8%B0%EC%88%A0%EC%9D%98%20%EC%9C%A0%EC%B6%9C%EB%B0%A9%EC%A7%80%20%EB%B0%8F%20%EB%B3%B4%ED%98%B8%EC%97%90%20%EA%B4%80%ED%95%9C%20%EB%B2%95%EB%A5%A0" TargetMode="External" Id="rId39" /><Relationship Type="http://schemas.openxmlformats.org/officeDocument/2006/relationships/hyperlink" Target="https://www.law.go.kr/lsSc.do?menuId=1&amp;query=%EB%B6%80%EC%A0%95%EA%B2%BD%EC%9F%81%EB%B0%A9%EC%A7%80%20%EB%B0%8F%20%EC%98%81%EC%97%85%EB%B9%84%EB%B0%80%EB%B3%B4%ED%98%B8%EC%97%90%20%EA%B4%80%ED%95%9C%20%EB%B2%95%EB%A5%A0" TargetMode="External" Id="rId40" /><Relationship Type="http://schemas.openxmlformats.org/officeDocument/2006/relationships/hyperlink" Target="https://www.law.go.kr/lsSc.do?menuId=1&amp;query=%EC%A0%95%EB%B3%B4%ED%86%B5%EC%8B%A0%EB%A7%9D%20%EC%9D%B4%EC%9A%A9%EC%B4%89%EC%A7%84%20%EB%B0%8F%20%EC%A0%95%EB%B3%B4%EB%B3%B4%ED%98%B8%20%EB%93%B1%EC%97%90%20%EA%B4%80%ED%95%9C%20%EB%B2%95%EB%A5%A0" TargetMode="External" Id="rId41" /><Relationship Type="http://schemas.openxmlformats.org/officeDocument/2006/relationships/hyperlink" Target="https://www.law.go.kr/lsSc.do?menuId=1&amp;query=%EC%9E%AC%EB%82%9C%20%EB%B0%8F%20%EC%95%88%EC%A0%84%EA%B4%80%EB%A6%AC%20%EA%B8%B0%EB%B3%B8%EB%B2%95" TargetMode="External" Id="rId42" /><Relationship Type="http://schemas.openxmlformats.org/officeDocument/2006/relationships/hyperlink" Target="https://www.law.go.kr/lsSc.do?menuId=1&amp;query=%EB%B3%80%ED%98%B8%EC%82%AC%EB%B2%95" TargetMode="External" Id="rId43" /><Relationship Type="http://schemas.openxmlformats.org/officeDocument/2006/relationships/hyperlink" Target="https://www.law.go.kr/lsSc.do?menuId=1&amp;query=%EC%A0%95%EC%B9%98%EC%9E%90%EA%B8%88%EB%B2%95" TargetMode="External" Id="rId44" /><Relationship Type="http://schemas.openxmlformats.org/officeDocument/2006/relationships/hyperlink" Target="https://www.law.go.kr/lsSc.do?menuId=1&amp;query=%EA%B5%AD%EA%B0%80%EC%A0%95%EB%B3%B4%EC%9B%90%EB%B2%95" TargetMode="External" Id="rId45" /><Relationship Type="http://schemas.openxmlformats.org/officeDocument/2006/relationships/hyperlink" Target="https://www.law.go.kr/lsSc.do?menuId=1&amp;query=%EA%B5%AD%ED%9A%8C%EC%97%90%EC%84%9C%EC%9D%98%20%EC%A6%9D%EC%96%B8%E3%86%8D%EA%B0%90%EC%A0%95%20%EB%93%B1%EC%97%90%20%EA%B4%80%ED%95%9C%20%EB%B2%95%EB%A5%A0" TargetMode="External" Id="rId46" /><Relationship Type="http://schemas.openxmlformats.org/officeDocument/2006/relationships/hyperlink" Target="https://www.law.go.kr/lsSc.do?menuId=1&amp;query=%EC%A0%95%EB%B6%80%EC%A1%B0%EC%A7%81%EB%B2%95" TargetMode="External" Id="rId47" /><Relationship Type="http://schemas.openxmlformats.org/officeDocument/2006/relationships/hyperlink" Target="https://www.law.go.kr/lsSc.do?menuId=1&amp;query=%EA%B3%A0%EC%9C%84%EA%B3%B5%EC%A7%81%EC%9E%90%EB%B2%94%EC%A3%84%EC%88%98%EC%82%AC%EC%B2%98%20%EC%84%A4%EC%B9%98%20%EB%B0%8F%20%EC%9A%B4%EC%98%81%EC%97%90%20%EA%B4%80%ED%95%9C%20%EB%B2%95%EB%A5%A0" TargetMode="External" Id="rId48" /><Relationship Type="http://schemas.openxmlformats.org/officeDocument/2006/relationships/hyperlink" Target="https://www.law.go.kr/lsSc.do?menuId=1&amp;query=%EA%B5%AD%EA%B0%80%EA%B2%BD%EC%B0%B0%EA%B3%BC%20%EC%9E%90%EC%B9%98%EA%B2%BD%EC%B0%B0%EC%9D%98%20%EC%A1%B0%EC%A7%81%20%EB%B0%8F%20%EC%9A%B4%EC%98%81%EC%97%90%20%EA%B4%80%ED%95%9C%20%EB%B2%95%EB%A5%A0" TargetMode="External" Id="rId49" /><Relationship Type="http://schemas.openxmlformats.org/officeDocument/2006/relationships/hyperlink" Target="https://www.law.go.kr/lsSc.do?menuId=1&amp;query=%ED%96%89%EC%A0%95%EA%B8%B0%EA%B4%80%EC%9D%98%20%EC%A1%B0%EC%A7%81%EA%B3%BC%20%EC%A0%95%EC%9B%90%EC%97%90%20%EA%B4%80%ED%95%9C%20%ED%86%B5%EC%B9%99" TargetMode="External" Id="rId50" /><Relationship Type="http://schemas.openxmlformats.org/officeDocument/2006/relationships/hyperlink" Target="https://www.law.go.kr/lsSc.do?menuId=1&amp;query=%EB%B9%84%EC%83%81%EB%8C%80%EB%B9%84%EC%97%90%20%EA%B4%80%ED%95%9C%20%EB%B2%95%EB%A5%A0" TargetMode="External" Id="rId51" /><Relationship Type="http://schemas.openxmlformats.org/officeDocument/2006/relationships/hyperlink" Target="https://www.law.go.kr/lsSc.do?menuId=1&amp;query=%EA%B0%9C%EC%9D%B8%EC%A0%95%EB%B3%B4%20%EB%B3%B4%ED%98%B8%EB%B2%95" TargetMode="External" Id="rId52" /><Relationship Type="http://schemas.openxmlformats.org/officeDocument/2006/relationships/hyperlink" Target="https://www.law.go.kr/lsSc.do?menuId=1&amp;query=%EA%B3%B5%EA%B3%B5%EA%B8%B0%EA%B4%80%EC%9D%98%20%EC%A0%95%EB%B3%B4%EA%B3%B5%EA%B0%9C%EC%97%90%20%EA%B4%80%ED%95%9C%20%EB%B2%95%EB%A5%A0" TargetMode="External" Id="rId53" /><Relationship Type="http://schemas.openxmlformats.org/officeDocument/2006/relationships/hyperlink" Target="https://www.law.go.kr/lsSc.do?menuId=1&amp;query=%EB%AF%BC%EC%9B%90%20%EC%B2%98%EB%A6%AC%EC%97%90%20%EA%B4%80%ED%95%9C%20%EB%B2%95%EB%A5%A0" TargetMode="External" Id="rId54" /><Relationship Type="http://schemas.openxmlformats.org/officeDocument/2006/relationships/hyperlink" Target="https://www.law.go.kr/lsSc.do?menuId=1&amp;query=%EB%B2%94%EC%A3%84%ED%94%BC%ED%95%B4%EC%9E%90%20%EB%B3%B4%ED%98%B8%EB%B2%95" TargetMode="External" Id="rId55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law.go.kr/lsSc.do?menuId=1&amp;query=%EA%B2%80%EC%82%AC%EC%99%80%20%EC%82%AC%EB%B2%95%EA%B2%BD%EC%B0%B0%EA%B4%80%EC%9D%98%20%EC%83%81%ED%98%B8%ED%98%91%EB%A0%A5%EA%B3%BC%20%EC%9D%BC%EB%B0%98%EC%A0%81%20%EC%88%98%EC%82%AC%EC%A4%80%EC%B9%99%EC%97%90%20%EA%B4%80%ED%95%9C%20%EA%B7%9C%EC%A0%95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중대범죄수사청 조직·정원·법령 정리표</t>
        </is>
      </c>
      <c r="B1" s="2" t="n"/>
    </row>
    <row r="2">
      <c r="A2" s="3" t="inlineStr">
        <is>
          <t>기준일</t>
        </is>
      </c>
      <c r="B2" s="2" t="inlineStr">
        <is>
          <t>2026. 10. 2. (중수청 개청일)</t>
        </is>
      </c>
    </row>
    <row r="3" ht="45" customHeight="1">
      <c r="A3" s="3" t="inlineStr">
        <is>
          <t>근거 자료</t>
        </is>
      </c>
      <c r="B3" s="2" t="inlineStr">
        <is>
          <t>중수청법(법률 제21491호), 같은 법 시행령(대통령령 제36596호), 「중대범죄수사청과 그 소속기관 직제」(대통령령 제36602호), 같은 직제 시행규칙(행정안전부령 제643호), 중대범죄수사청 특례임용 임용희망 신청 공고(2026. 8. 7.) 별첨 1·2</t>
        </is>
      </c>
    </row>
    <row r="4">
      <c r="A4" s="3" t="inlineStr"/>
      <c r="B4" s="2" t="inlineStr"/>
    </row>
    <row r="5">
      <c r="A5" s="3" t="inlineStr">
        <is>
          <t>시트 구성</t>
        </is>
      </c>
      <c r="B5" s="2" t="inlineStr"/>
    </row>
    <row r="6">
      <c r="A6" s="3" t="inlineStr">
        <is>
          <t>청별 요약</t>
        </is>
      </c>
      <c r="B6" s="2" t="inlineStr">
        <is>
          <t>청별 직급별 정원 합계. ‘부서별 정원’ 시트에서 자동 합산되므로 직접 고치지 마세요.</t>
        </is>
      </c>
    </row>
    <row r="7">
      <c r="A7" s="3" t="inlineStr">
        <is>
          <t>부서별 정원</t>
        </is>
      </c>
      <c r="B7" s="2" t="inlineStr">
        <is>
          <t>공고 별첨2 정원표(4급 비보직~9급). 파란 숫자·노란 칸을 고치면 합계가 자동으로 바뀝니다.</t>
        </is>
      </c>
    </row>
    <row r="8">
      <c r="A8" s="3" t="inlineStr">
        <is>
          <t>조직·업무</t>
        </is>
      </c>
      <c r="B8" s="2" t="inlineStr">
        <is>
          <t>부서 180개의 보직 계급, 근거 조문, 분장 업무, 사건 범위. 자유롭게 고치거나 행을 추가하세요.</t>
        </is>
      </c>
    </row>
    <row r="9">
      <c r="A9" s="3" t="inlineStr">
        <is>
          <t>관할구역</t>
        </is>
      </c>
      <c r="B9" s="2" t="inlineStr">
        <is>
          <t>청별 위치와 관할구역. ‘확인 필요’ 열을 원문 확인 후 갱신하세요.</t>
        </is>
      </c>
    </row>
    <row r="10">
      <c r="A10" s="3" t="inlineStr">
        <is>
          <t>법령 목록</t>
        </is>
      </c>
      <c r="B10" s="2" t="inlineStr">
        <is>
          <t>확인해야 할 법령. ‘확인’ 열에 ○를 넣으면 진행률이 계산됩니다.</t>
        </is>
      </c>
    </row>
    <row r="11">
      <c r="A11" s="3" t="inlineStr">
        <is>
          <t>내 보관함</t>
        </is>
      </c>
      <c r="B11" s="2" t="inlineStr">
        <is>
          <t>흩어진 법령·훈령·내부지침을 모아 두는 표. 2행은 예시이니 지워도 됩니다.</t>
        </is>
      </c>
    </row>
    <row r="12">
      <c r="A12" s="3" t="inlineStr">
        <is>
          <t>타기관 충원</t>
        </is>
      </c>
      <c r="B12" s="2" t="inlineStr">
        <is>
          <t>직제 §36④에 따라 다른 기관 소속으로 충원하는 정원.</t>
        </is>
      </c>
    </row>
    <row r="13">
      <c r="A13" s="3" t="inlineStr"/>
      <c r="B13" s="2" t="inlineStr"/>
    </row>
    <row r="14">
      <c r="A14" s="3" t="inlineStr">
        <is>
          <t>편집 규칙</t>
        </is>
      </c>
      <c r="B14" s="2" t="inlineStr">
        <is>
          <t>파란 글씨 = 직접 입력한 값(수정 대상) / 검정 글씨 = 수식(자동 계산) / 노란 배경 = 입력 칸</t>
        </is>
      </c>
    </row>
    <row r="15" ht="45" customHeight="1">
      <c r="A15" s="3" t="inlineStr">
        <is>
          <t>주의</t>
        </is>
      </c>
      <c r="B15" s="2" t="inlineStr">
        <is>
          <t>관할구역은 직제 별표 1 원문이 자료에 없어 ‘고등법원 관할구역에 대응’ 원칙으로 정리했습니다. 과별 정원은 공고되지 않아 국(신청단위) 단위로만 있습니다. 업무 문구는 조문 요약이므로 인용 시 원문을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9" customWidth="1" min="10" max="10"/>
    <col width="12" customWidth="1" min="11" max="11"/>
    <col width="8" customWidth="1" min="12" max="12"/>
  </cols>
  <sheetData>
    <row r="1">
      <c r="A1" s="4" t="inlineStr">
        <is>
          <t>청</t>
        </is>
      </c>
      <c r="B1" s="4" t="inlineStr">
        <is>
          <t>기관명</t>
        </is>
      </c>
      <c r="C1" s="4" t="inlineStr">
        <is>
          <t>4급(비보직)</t>
        </is>
      </c>
      <c r="D1" s="4" t="inlineStr">
        <is>
          <t>5급</t>
        </is>
      </c>
      <c r="E1" s="4" t="inlineStr">
        <is>
          <t>6급</t>
        </is>
      </c>
      <c r="F1" s="4" t="inlineStr">
        <is>
          <t>7급</t>
        </is>
      </c>
      <c r="G1" s="4" t="inlineStr">
        <is>
          <t>8급</t>
        </is>
      </c>
      <c r="H1" s="4" t="inlineStr">
        <is>
          <t>9급</t>
        </is>
      </c>
      <c r="I1" s="4" t="inlineStr">
        <is>
          <t>수사관 계</t>
        </is>
      </c>
      <c r="J1" s="4" t="inlineStr">
        <is>
          <t>관리운영</t>
        </is>
      </c>
      <c r="K1" s="4" t="inlineStr">
        <is>
          <t>공고 계(검증)</t>
        </is>
      </c>
      <c r="L1" s="4" t="inlineStr">
        <is>
          <t>차이</t>
        </is>
      </c>
    </row>
    <row r="2">
      <c r="A2" s="5" t="inlineStr">
        <is>
          <t>본청</t>
        </is>
      </c>
      <c r="B2" s="6" t="inlineStr">
        <is>
          <t>중대범죄수사청</t>
        </is>
      </c>
      <c r="C2" s="7">
        <f>SUMIFS('부서별 정원'!E$2:E$45,'부서별 정원'!$A$2:$A$45,$A2)</f>
        <v/>
      </c>
      <c r="D2" s="7">
        <f>SUMIFS('부서별 정원'!F$2:F$45,'부서별 정원'!$A$2:$A$45,$A2)</f>
        <v/>
      </c>
      <c r="E2" s="7">
        <f>SUMIFS('부서별 정원'!G$2:G$45,'부서별 정원'!$A$2:$A$45,$A2)</f>
        <v/>
      </c>
      <c r="F2" s="7">
        <f>SUMIFS('부서별 정원'!H$2:H$45,'부서별 정원'!$A$2:$A$45,$A2)</f>
        <v/>
      </c>
      <c r="G2" s="7">
        <f>SUMIFS('부서별 정원'!I$2:I$45,'부서별 정원'!$A$2:$A$45,$A2)</f>
        <v/>
      </c>
      <c r="H2" s="7">
        <f>SUMIFS('부서별 정원'!J$2:J$45,'부서별 정원'!$A$2:$A$45,$A2)</f>
        <v/>
      </c>
      <c r="I2" s="5">
        <f>SUM(C2:H2)</f>
        <v/>
      </c>
      <c r="J2" s="8">
        <f>SUMIFS('부서별 정원'!L$2:L$45,'부서별 정원'!$A$2:$A$45,$A2)</f>
        <v/>
      </c>
      <c r="K2" s="9" t="n">
        <v>300</v>
      </c>
      <c r="L2" s="10">
        <f>I2-K2</f>
        <v/>
      </c>
    </row>
    <row r="3">
      <c r="A3" s="5" t="inlineStr">
        <is>
          <t>서울</t>
        </is>
      </c>
      <c r="B3" s="6" t="inlineStr">
        <is>
          <t>서울지방중대범죄수사청</t>
        </is>
      </c>
      <c r="C3" s="7">
        <f>SUMIFS('부서별 정원'!E$2:E$45,'부서별 정원'!$A$2:$A$45,$A3)</f>
        <v/>
      </c>
      <c r="D3" s="7">
        <f>SUMIFS('부서별 정원'!F$2:F$45,'부서별 정원'!$A$2:$A$45,$A3)</f>
        <v/>
      </c>
      <c r="E3" s="7">
        <f>SUMIFS('부서별 정원'!G$2:G$45,'부서별 정원'!$A$2:$A$45,$A3)</f>
        <v/>
      </c>
      <c r="F3" s="7">
        <f>SUMIFS('부서별 정원'!H$2:H$45,'부서별 정원'!$A$2:$A$45,$A3)</f>
        <v/>
      </c>
      <c r="G3" s="7">
        <f>SUMIFS('부서별 정원'!I$2:I$45,'부서별 정원'!$A$2:$A$45,$A3)</f>
        <v/>
      </c>
      <c r="H3" s="7">
        <f>SUMIFS('부서별 정원'!J$2:J$45,'부서별 정원'!$A$2:$A$45,$A3)</f>
        <v/>
      </c>
      <c r="I3" s="5">
        <f>SUM(C3:H3)</f>
        <v/>
      </c>
      <c r="J3" s="8">
        <f>SUMIFS('부서별 정원'!L$2:L$45,'부서별 정원'!$A$2:$A$45,$A3)</f>
        <v/>
      </c>
      <c r="K3" s="9" t="n">
        <v>947</v>
      </c>
      <c r="L3" s="10">
        <f>I3-K3</f>
        <v/>
      </c>
    </row>
    <row r="4">
      <c r="A4" s="5" t="inlineStr">
        <is>
          <t>수원</t>
        </is>
      </c>
      <c r="B4" s="6" t="inlineStr">
        <is>
          <t>수원지방중대범죄수사청</t>
        </is>
      </c>
      <c r="C4" s="7">
        <f>SUMIFS('부서별 정원'!E$2:E$45,'부서별 정원'!$A$2:$A$45,$A4)</f>
        <v/>
      </c>
      <c r="D4" s="7">
        <f>SUMIFS('부서별 정원'!F$2:F$45,'부서별 정원'!$A$2:$A$45,$A4)</f>
        <v/>
      </c>
      <c r="E4" s="7">
        <f>SUMIFS('부서별 정원'!G$2:G$45,'부서별 정원'!$A$2:$A$45,$A4)</f>
        <v/>
      </c>
      <c r="F4" s="7">
        <f>SUMIFS('부서별 정원'!H$2:H$45,'부서별 정원'!$A$2:$A$45,$A4)</f>
        <v/>
      </c>
      <c r="G4" s="7">
        <f>SUMIFS('부서별 정원'!I$2:I$45,'부서별 정원'!$A$2:$A$45,$A4)</f>
        <v/>
      </c>
      <c r="H4" s="7">
        <f>SUMIFS('부서별 정원'!J$2:J$45,'부서별 정원'!$A$2:$A$45,$A4)</f>
        <v/>
      </c>
      <c r="I4" s="5">
        <f>SUM(C4:H4)</f>
        <v/>
      </c>
      <c r="J4" s="8">
        <f>SUMIFS('부서별 정원'!L$2:L$45,'부서별 정원'!$A$2:$A$45,$A4)</f>
        <v/>
      </c>
      <c r="K4" s="9" t="n">
        <v>275</v>
      </c>
      <c r="L4" s="10">
        <f>I4-K4</f>
        <v/>
      </c>
    </row>
    <row r="5">
      <c r="A5" s="5" t="inlineStr">
        <is>
          <t>대전</t>
        </is>
      </c>
      <c r="B5" s="6" t="inlineStr">
        <is>
          <t>대전지방중대범죄수사청</t>
        </is>
      </c>
      <c r="C5" s="7">
        <f>SUMIFS('부서별 정원'!E$2:E$45,'부서별 정원'!$A$2:$A$45,$A5)</f>
        <v/>
      </c>
      <c r="D5" s="7">
        <f>SUMIFS('부서별 정원'!F$2:F$45,'부서별 정원'!$A$2:$A$45,$A5)</f>
        <v/>
      </c>
      <c r="E5" s="7">
        <f>SUMIFS('부서별 정원'!G$2:G$45,'부서별 정원'!$A$2:$A$45,$A5)</f>
        <v/>
      </c>
      <c r="F5" s="7">
        <f>SUMIFS('부서별 정원'!H$2:H$45,'부서별 정원'!$A$2:$A$45,$A5)</f>
        <v/>
      </c>
      <c r="G5" s="7">
        <f>SUMIFS('부서별 정원'!I$2:I$45,'부서별 정원'!$A$2:$A$45,$A5)</f>
        <v/>
      </c>
      <c r="H5" s="7">
        <f>SUMIFS('부서별 정원'!J$2:J$45,'부서별 정원'!$A$2:$A$45,$A5)</f>
        <v/>
      </c>
      <c r="I5" s="5">
        <f>SUM(C5:H5)</f>
        <v/>
      </c>
      <c r="J5" s="8">
        <f>SUMIFS('부서별 정원'!L$2:L$45,'부서별 정원'!$A$2:$A$45,$A5)</f>
        <v/>
      </c>
      <c r="K5" s="9" t="n">
        <v>210</v>
      </c>
      <c r="L5" s="10">
        <f>I5-K5</f>
        <v/>
      </c>
    </row>
    <row r="6">
      <c r="A6" s="5" t="inlineStr">
        <is>
          <t>대구</t>
        </is>
      </c>
      <c r="B6" s="6" t="inlineStr">
        <is>
          <t>대구지방중대범죄수사청</t>
        </is>
      </c>
      <c r="C6" s="7">
        <f>SUMIFS('부서별 정원'!E$2:E$45,'부서별 정원'!$A$2:$A$45,$A6)</f>
        <v/>
      </c>
      <c r="D6" s="7">
        <f>SUMIFS('부서별 정원'!F$2:F$45,'부서별 정원'!$A$2:$A$45,$A6)</f>
        <v/>
      </c>
      <c r="E6" s="7">
        <f>SUMIFS('부서별 정원'!G$2:G$45,'부서별 정원'!$A$2:$A$45,$A6)</f>
        <v/>
      </c>
      <c r="F6" s="7">
        <f>SUMIFS('부서별 정원'!H$2:H$45,'부서별 정원'!$A$2:$A$45,$A6)</f>
        <v/>
      </c>
      <c r="G6" s="7">
        <f>SUMIFS('부서별 정원'!I$2:I$45,'부서별 정원'!$A$2:$A$45,$A6)</f>
        <v/>
      </c>
      <c r="H6" s="7">
        <f>SUMIFS('부서별 정원'!J$2:J$45,'부서별 정원'!$A$2:$A$45,$A6)</f>
        <v/>
      </c>
      <c r="I6" s="5">
        <f>SUM(C6:H6)</f>
        <v/>
      </c>
      <c r="J6" s="8">
        <f>SUMIFS('부서별 정원'!L$2:L$45,'부서별 정원'!$A$2:$A$45,$A6)</f>
        <v/>
      </c>
      <c r="K6" s="9" t="n">
        <v>182</v>
      </c>
      <c r="L6" s="10">
        <f>I6-K6</f>
        <v/>
      </c>
    </row>
    <row r="7">
      <c r="A7" s="5" t="inlineStr">
        <is>
          <t>부산</t>
        </is>
      </c>
      <c r="B7" s="6" t="inlineStr">
        <is>
          <t>부산지방중대범죄수사청</t>
        </is>
      </c>
      <c r="C7" s="7">
        <f>SUMIFS('부서별 정원'!E$2:E$45,'부서별 정원'!$A$2:$A$45,$A7)</f>
        <v/>
      </c>
      <c r="D7" s="7">
        <f>SUMIFS('부서별 정원'!F$2:F$45,'부서별 정원'!$A$2:$A$45,$A7)</f>
        <v/>
      </c>
      <c r="E7" s="7">
        <f>SUMIFS('부서별 정원'!G$2:G$45,'부서별 정원'!$A$2:$A$45,$A7)</f>
        <v/>
      </c>
      <c r="F7" s="7">
        <f>SUMIFS('부서별 정원'!H$2:H$45,'부서별 정원'!$A$2:$A$45,$A7)</f>
        <v/>
      </c>
      <c r="G7" s="7">
        <f>SUMIFS('부서별 정원'!I$2:I$45,'부서별 정원'!$A$2:$A$45,$A7)</f>
        <v/>
      </c>
      <c r="H7" s="7">
        <f>SUMIFS('부서별 정원'!J$2:J$45,'부서별 정원'!$A$2:$A$45,$A7)</f>
        <v/>
      </c>
      <c r="I7" s="5">
        <f>SUM(C7:H7)</f>
        <v/>
      </c>
      <c r="J7" s="8">
        <f>SUMIFS('부서별 정원'!L$2:L$45,'부서별 정원'!$A$2:$A$45,$A7)</f>
        <v/>
      </c>
      <c r="K7" s="9" t="n">
        <v>276</v>
      </c>
      <c r="L7" s="10">
        <f>I7-K7</f>
        <v/>
      </c>
    </row>
    <row r="8">
      <c r="A8" s="5" t="inlineStr">
        <is>
          <t>광주</t>
        </is>
      </c>
      <c r="B8" s="6" t="inlineStr">
        <is>
          <t>광주지방중대범죄수사청</t>
        </is>
      </c>
      <c r="C8" s="7">
        <f>SUMIFS('부서별 정원'!E$2:E$45,'부서별 정원'!$A$2:$A$45,$A8)</f>
        <v/>
      </c>
      <c r="D8" s="7">
        <f>SUMIFS('부서별 정원'!F$2:F$45,'부서별 정원'!$A$2:$A$45,$A8)</f>
        <v/>
      </c>
      <c r="E8" s="7">
        <f>SUMIFS('부서별 정원'!G$2:G$45,'부서별 정원'!$A$2:$A$45,$A8)</f>
        <v/>
      </c>
      <c r="F8" s="7">
        <f>SUMIFS('부서별 정원'!H$2:H$45,'부서별 정원'!$A$2:$A$45,$A8)</f>
        <v/>
      </c>
      <c r="G8" s="7">
        <f>SUMIFS('부서별 정원'!I$2:I$45,'부서별 정원'!$A$2:$A$45,$A8)</f>
        <v/>
      </c>
      <c r="H8" s="7">
        <f>SUMIFS('부서별 정원'!J$2:J$45,'부서별 정원'!$A$2:$A$45,$A8)</f>
        <v/>
      </c>
      <c r="I8" s="5">
        <f>SUM(C8:H8)</f>
        <v/>
      </c>
      <c r="J8" s="8">
        <f>SUMIFS('부서별 정원'!L$2:L$45,'부서별 정원'!$A$2:$A$45,$A8)</f>
        <v/>
      </c>
      <c r="K8" s="9" t="n">
        <v>198</v>
      </c>
      <c r="L8" s="10">
        <f>I8-K8</f>
        <v/>
      </c>
    </row>
    <row r="9">
      <c r="A9" s="11" t="inlineStr">
        <is>
          <t>합계</t>
        </is>
      </c>
      <c r="B9" s="12" t="inlineStr">
        <is>
          <t>본청 + 6개 지방청</t>
        </is>
      </c>
      <c r="C9" s="13">
        <f>SUM(C2:C8)</f>
        <v/>
      </c>
      <c r="D9" s="13">
        <f>SUM(D2:D8)</f>
        <v/>
      </c>
      <c r="E9" s="13">
        <f>SUM(E2:E8)</f>
        <v/>
      </c>
      <c r="F9" s="13">
        <f>SUM(F2:F8)</f>
        <v/>
      </c>
      <c r="G9" s="13">
        <f>SUM(G2:G8)</f>
        <v/>
      </c>
      <c r="H9" s="13">
        <f>SUM(H2:H8)</f>
        <v/>
      </c>
      <c r="I9" s="13">
        <f>SUM(I2:I8)</f>
        <v/>
      </c>
      <c r="J9" s="13">
        <f>SUM(J2:J8)</f>
        <v/>
      </c>
      <c r="K9" s="13">
        <f>SUM(K2:K8)</f>
        <v/>
      </c>
      <c r="L9" s="14">
        <f>SUM(L2:L8)</f>
        <v/>
      </c>
    </row>
    <row r="11">
      <c r="A11" s="15" t="inlineStr">
        <is>
          <t>수사관 계·관리운영은 ‘부서별 정원’ 시트에서 자동 합산됩니다. ‘공고 계’는 공고 별첨2 각 청 ‘계’ 행 값이며, ‘차이’가 ✓이면 일치합니다. 국·과장 보직자(1~4급 보직)는 이 표에 포함되지 않습니다.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6" customWidth="1" min="3" max="3"/>
    <col width="8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9" customWidth="1" min="12" max="12"/>
    <col width="50" customWidth="1" min="13" max="13"/>
    <col width="30" customWidth="1" min="14" max="14"/>
  </cols>
  <sheetData>
    <row r="1" ht="22" customHeight="1">
      <c r="A1" s="4" t="inlineStr">
        <is>
          <t>청</t>
        </is>
      </c>
      <c r="B1" s="4" t="inlineStr">
        <is>
          <t>신청단위(부서)</t>
        </is>
      </c>
      <c r="C1" s="4" t="inlineStr">
        <is>
          <t>하부 부서</t>
        </is>
      </c>
      <c r="D1" s="4" t="inlineStr">
        <is>
          <t>보직</t>
        </is>
      </c>
      <c r="E1" s="4" t="inlineStr">
        <is>
          <t>4급(비보직)</t>
        </is>
      </c>
      <c r="F1" s="4" t="inlineStr">
        <is>
          <t>5급</t>
        </is>
      </c>
      <c r="G1" s="4" t="inlineStr">
        <is>
          <t>6급</t>
        </is>
      </c>
      <c r="H1" s="4" t="inlineStr">
        <is>
          <t>7급</t>
        </is>
      </c>
      <c r="I1" s="4" t="inlineStr">
        <is>
          <t>8급</t>
        </is>
      </c>
      <c r="J1" s="4" t="inlineStr">
        <is>
          <t>9급</t>
        </is>
      </c>
      <c r="K1" s="4" t="inlineStr">
        <is>
          <t>수사관 계</t>
        </is>
      </c>
      <c r="L1" s="4" t="inlineStr">
        <is>
          <t>관리운영</t>
        </is>
      </c>
      <c r="M1" s="4" t="inlineStr">
        <is>
          <t>일반직</t>
        </is>
      </c>
      <c r="N1" s="4" t="inlineStr">
        <is>
          <t>비고</t>
        </is>
      </c>
    </row>
    <row r="2">
      <c r="A2" s="16" t="inlineStr">
        <is>
          <t>본청</t>
        </is>
      </c>
      <c r="B2" s="17" t="inlineStr">
        <is>
          <t>부속실</t>
        </is>
      </c>
      <c r="C2" s="6" t="inlineStr">
        <is>
          <t>중대범죄수사청장, 차장</t>
        </is>
      </c>
      <c r="D2" s="16" t="inlineStr"/>
      <c r="E2" s="18" t="n">
        <v>0</v>
      </c>
      <c r="F2" s="18" t="n">
        <v>1</v>
      </c>
      <c r="G2" s="18" t="n">
        <v>2</v>
      </c>
      <c r="H2" s="18" t="n">
        <v>0</v>
      </c>
      <c r="I2" s="18" t="n">
        <v>0</v>
      </c>
      <c r="J2" s="18" t="n">
        <v>0</v>
      </c>
      <c r="K2" s="19">
        <f>SUM(E2:J2)</f>
        <v/>
      </c>
      <c r="L2" s="18" t="n">
        <v>3</v>
      </c>
      <c r="M2" s="6" t="n"/>
      <c r="N2" s="6" t="inlineStr">
        <is>
          <t>청장·차장 부속</t>
        </is>
      </c>
    </row>
    <row r="3">
      <c r="A3" s="16" t="inlineStr">
        <is>
          <t>본청</t>
        </is>
      </c>
      <c r="B3" s="17" t="inlineStr">
        <is>
          <t>감찰관</t>
        </is>
      </c>
      <c r="C3" s="6" t="inlineStr">
        <is>
          <t>감찰담당관, 감사담당관, 인권·양성평등담당관</t>
        </is>
      </c>
      <c r="D3" s="16" t="inlineStr">
        <is>
          <t>2급</t>
        </is>
      </c>
      <c r="E3" s="18" t="n">
        <v>3</v>
      </c>
      <c r="F3" s="18" t="n">
        <v>5</v>
      </c>
      <c r="G3" s="18" t="n">
        <v>13</v>
      </c>
      <c r="H3" s="18" t="n">
        <v>12</v>
      </c>
      <c r="I3" s="18" t="n">
        <v>4</v>
      </c>
      <c r="J3" s="18" t="n">
        <v>0</v>
      </c>
      <c r="K3" s="19">
        <f>SUM(E3:J3)</f>
        <v/>
      </c>
      <c r="L3" s="18" t="n">
        <v>1</v>
      </c>
      <c r="M3" s="6" t="inlineStr">
        <is>
          <t>인권·양성평등담당관: 전문경력관 나급(1)</t>
        </is>
      </c>
      <c r="N3" s="6" t="n"/>
    </row>
    <row r="4">
      <c r="A4" s="16" t="inlineStr">
        <is>
          <t>본청</t>
        </is>
      </c>
      <c r="B4" s="17" t="inlineStr">
        <is>
          <t>대변인</t>
        </is>
      </c>
      <c r="C4" s="6" t="inlineStr">
        <is>
          <t>공보담당관</t>
        </is>
      </c>
      <c r="D4" s="16" t="inlineStr">
        <is>
          <t>2급</t>
        </is>
      </c>
      <c r="E4" s="18" t="n">
        <v>1</v>
      </c>
      <c r="F4" s="18" t="n">
        <v>1</v>
      </c>
      <c r="G4" s="18" t="n">
        <v>1</v>
      </c>
      <c r="H4" s="18" t="n">
        <v>3</v>
      </c>
      <c r="I4" s="18" t="n">
        <v>3</v>
      </c>
      <c r="J4" s="18" t="n">
        <v>0</v>
      </c>
      <c r="K4" s="19">
        <f>SUM(E4:J4)</f>
        <v/>
      </c>
      <c r="L4" s="18" t="n">
        <v>1</v>
      </c>
      <c r="M4" s="6" t="inlineStr">
        <is>
          <t>공보담당관: 전문경력관 나급(1)</t>
        </is>
      </c>
      <c r="N4" s="6" t="n"/>
    </row>
    <row r="5">
      <c r="A5" s="16" t="inlineStr">
        <is>
          <t>본청</t>
        </is>
      </c>
      <c r="B5" s="17" t="inlineStr">
        <is>
          <t>기획조정관</t>
        </is>
      </c>
      <c r="C5" s="6" t="inlineStr">
        <is>
          <t>기획재정담당관, 국제협력담당관, 정보통신담당관, 비상안전담당관</t>
        </is>
      </c>
      <c r="D5" s="16" t="inlineStr">
        <is>
          <t>2급</t>
        </is>
      </c>
      <c r="E5" s="18" t="n">
        <v>3</v>
      </c>
      <c r="F5" s="18" t="n">
        <v>4</v>
      </c>
      <c r="G5" s="18" t="n">
        <v>10</v>
      </c>
      <c r="H5" s="18" t="n">
        <v>9</v>
      </c>
      <c r="I5" s="18" t="n">
        <v>5</v>
      </c>
      <c r="J5" s="18" t="n">
        <v>0</v>
      </c>
      <c r="K5" s="19">
        <f>SUM(E5:J5)</f>
        <v/>
      </c>
      <c r="L5" s="18" t="n">
        <v>1</v>
      </c>
      <c r="M5" s="6" t="inlineStr">
        <is>
          <t>정보통신담당관: 전산·방송통신 5급(2)·6급(4)·7급(4)·8급(2)·9급(1) / 비상안전담당관실: 방호 8급(3)·9급(4)</t>
        </is>
      </c>
      <c r="N5" s="6" t="n"/>
    </row>
    <row r="6">
      <c r="A6" s="16" t="inlineStr">
        <is>
          <t>본청</t>
        </is>
      </c>
      <c r="B6" s="17" t="inlineStr">
        <is>
          <t>인사정책기획관</t>
        </is>
      </c>
      <c r="C6" s="6" t="inlineStr">
        <is>
          <t>인사담당관, 수사정책담당관</t>
        </is>
      </c>
      <c r="D6" s="16" t="inlineStr">
        <is>
          <t>2급</t>
        </is>
      </c>
      <c r="E6" s="18" t="n">
        <v>12</v>
      </c>
      <c r="F6" s="18" t="n">
        <v>25</v>
      </c>
      <c r="G6" s="18" t="n">
        <v>7</v>
      </c>
      <c r="H6" s="18" t="n">
        <v>5</v>
      </c>
      <c r="I6" s="18" t="n">
        <v>3</v>
      </c>
      <c r="J6" s="18" t="n">
        <v>0</v>
      </c>
      <c r="K6" s="19">
        <f>SUM(E6:J6)</f>
        <v/>
      </c>
      <c r="L6" s="18" t="n">
        <v>1</v>
      </c>
      <c r="M6" s="6" t="inlineStr">
        <is>
          <t>인사담당관: 전산·방송통신 7급(1)·8급(2)</t>
        </is>
      </c>
      <c r="N6" s="6" t="n"/>
    </row>
    <row r="7">
      <c r="A7" s="16" t="inlineStr">
        <is>
          <t>본청</t>
        </is>
      </c>
      <c r="B7" s="17" t="inlineStr">
        <is>
          <t>수사정보관</t>
        </is>
      </c>
      <c r="C7" s="6" t="inlineStr">
        <is>
          <t>수사정보1담당관, 수사정보2담당관</t>
        </is>
      </c>
      <c r="D7" s="16" t="inlineStr">
        <is>
          <t>2급</t>
        </is>
      </c>
      <c r="E7" s="18" t="n">
        <v>2</v>
      </c>
      <c r="F7" s="18" t="n">
        <v>3</v>
      </c>
      <c r="G7" s="18" t="n">
        <v>8</v>
      </c>
      <c r="H7" s="18" t="n">
        <v>8</v>
      </c>
      <c r="I7" s="18" t="n">
        <v>2</v>
      </c>
      <c r="J7" s="18" t="n">
        <v>0</v>
      </c>
      <c r="K7" s="19">
        <f>SUM(E7:J7)</f>
        <v/>
      </c>
      <c r="L7" s="18" t="n">
        <v>1</v>
      </c>
      <c r="M7" s="6" t="n"/>
      <c r="N7" s="6" t="n"/>
    </row>
    <row r="8">
      <c r="A8" s="16" t="inlineStr">
        <is>
          <t>본청</t>
        </is>
      </c>
      <c r="B8" s="17" t="inlineStr">
        <is>
          <t>경제범죄수사국</t>
        </is>
      </c>
      <c r="C8" s="6" t="inlineStr">
        <is>
          <t>경제범죄수사과, 금융범죄수사과, 반독점수사과, 범죄수익수사과</t>
        </is>
      </c>
      <c r="D8" s="16" t="inlineStr">
        <is>
          <t>2급</t>
        </is>
      </c>
      <c r="E8" s="18" t="n">
        <v>4</v>
      </c>
      <c r="F8" s="18" t="n">
        <v>7</v>
      </c>
      <c r="G8" s="18" t="n">
        <v>11</v>
      </c>
      <c r="H8" s="18" t="n">
        <v>8</v>
      </c>
      <c r="I8" s="18" t="n">
        <v>4</v>
      </c>
      <c r="J8" s="18" t="n">
        <v>0</v>
      </c>
      <c r="K8" s="19">
        <f>SUM(E8:J8)</f>
        <v/>
      </c>
      <c r="L8" s="18" t="n">
        <v>1</v>
      </c>
      <c r="M8" s="6" t="n"/>
      <c r="N8" s="6" t="n"/>
    </row>
    <row r="9">
      <c r="A9" s="16" t="inlineStr">
        <is>
          <t>본청</t>
        </is>
      </c>
      <c r="B9" s="17" t="inlineStr">
        <is>
          <t>반부패수사국</t>
        </is>
      </c>
      <c r="C9" s="6" t="inlineStr">
        <is>
          <t>반부패수사과, 마약수사과, 공공사회안전수사과, 자금추적·회계분석과</t>
        </is>
      </c>
      <c r="D9" s="16" t="inlineStr">
        <is>
          <t>2급</t>
        </is>
      </c>
      <c r="E9" s="18" t="n">
        <v>6</v>
      </c>
      <c r="F9" s="18" t="n">
        <v>10</v>
      </c>
      <c r="G9" s="18" t="n">
        <v>17</v>
      </c>
      <c r="H9" s="18" t="n">
        <v>15</v>
      </c>
      <c r="I9" s="18" t="n">
        <v>5</v>
      </c>
      <c r="J9" s="18" t="n">
        <v>0</v>
      </c>
      <c r="K9" s="19">
        <f>SUM(E9:J9)</f>
        <v/>
      </c>
      <c r="L9" s="18" t="n">
        <v>1</v>
      </c>
      <c r="M9" s="6" t="inlineStr">
        <is>
          <t>공공사회안전수사과: 심리연구사(2)</t>
        </is>
      </c>
      <c r="N9" s="6" t="n"/>
    </row>
    <row r="10">
      <c r="A10" s="16" t="inlineStr">
        <is>
          <t>본청</t>
        </is>
      </c>
      <c r="B10" s="17" t="inlineStr">
        <is>
          <t>과학수사국</t>
        </is>
      </c>
      <c r="C10" s="6" t="inlineStr">
        <is>
          <t>사이버기술수사과, 디지털수사과, AI가상자산분석과</t>
        </is>
      </c>
      <c r="D10" s="16" t="inlineStr">
        <is>
          <t>2급</t>
        </is>
      </c>
      <c r="E10" s="18" t="n">
        <v>0</v>
      </c>
      <c r="F10" s="18" t="n">
        <v>5</v>
      </c>
      <c r="G10" s="18" t="n">
        <v>12</v>
      </c>
      <c r="H10" s="18" t="n">
        <v>11</v>
      </c>
      <c r="I10" s="18" t="n">
        <v>16</v>
      </c>
      <c r="J10" s="18" t="n">
        <v>0</v>
      </c>
      <c r="K10" s="19">
        <f>SUM(E10:J10)</f>
        <v/>
      </c>
      <c r="L10" s="18" t="n">
        <v>1</v>
      </c>
      <c r="M10" s="6" t="inlineStr">
        <is>
          <t>사이버기술수사과: 전산·방송통신 5급(1)·6급(1)·7급(4)·9급(1) / 디지털수사과: 전산·방송통신 5급(1)·6급(1)·8급(2)</t>
        </is>
      </c>
      <c r="N10" s="6" t="n"/>
    </row>
    <row r="11">
      <c r="A11" s="16" t="inlineStr">
        <is>
          <t>본청</t>
        </is>
      </c>
      <c r="B11" s="17" t="inlineStr">
        <is>
          <t>운영지원과</t>
        </is>
      </c>
      <c r="C11" s="6" t="inlineStr"/>
      <c r="D11" s="16" t="inlineStr">
        <is>
          <t>4급</t>
        </is>
      </c>
      <c r="E11" s="18" t="n">
        <v>0</v>
      </c>
      <c r="F11" s="18" t="n">
        <v>3</v>
      </c>
      <c r="G11" s="18" t="n">
        <v>3</v>
      </c>
      <c r="H11" s="18" t="n">
        <v>4</v>
      </c>
      <c r="I11" s="18" t="n">
        <v>4</v>
      </c>
      <c r="J11" s="18" t="n">
        <v>0</v>
      </c>
      <c r="K11" s="19">
        <f>SUM(E11:J11)</f>
        <v/>
      </c>
      <c r="L11" s="18" t="n">
        <v>0</v>
      </c>
      <c r="M11" s="6" t="inlineStr">
        <is>
          <t>시설·공업 7급(2) / 운전 7급(1)·8급(3)·9급(4) / 기록연구사(1)</t>
        </is>
      </c>
      <c r="N11" s="6" t="n"/>
    </row>
    <row r="12">
      <c r="A12" s="16" t="inlineStr">
        <is>
          <t>서울</t>
        </is>
      </c>
      <c r="B12" s="17" t="inlineStr">
        <is>
          <t>부속실</t>
        </is>
      </c>
      <c r="C12" s="6" t="inlineStr">
        <is>
          <t>서울지방중대범죄수사청장, 1차장, 2차장, 3차장</t>
        </is>
      </c>
      <c r="D12" s="16" t="inlineStr"/>
      <c r="E12" s="18" t="n">
        <v>0</v>
      </c>
      <c r="F12" s="18" t="n">
        <v>0</v>
      </c>
      <c r="G12" s="18" t="n">
        <v>4</v>
      </c>
      <c r="H12" s="18" t="n">
        <v>0</v>
      </c>
      <c r="I12" s="18" t="n">
        <v>0</v>
      </c>
      <c r="J12" s="18" t="n">
        <v>0</v>
      </c>
      <c r="K12" s="19">
        <f>SUM(E12:J12)</f>
        <v/>
      </c>
      <c r="L12" s="18" t="n">
        <v>5</v>
      </c>
      <c r="M12" s="6" t="n"/>
      <c r="N12" s="6" t="inlineStr">
        <is>
          <t>청장·차장 부속</t>
        </is>
      </c>
    </row>
    <row r="13">
      <c r="A13" s="16" t="inlineStr">
        <is>
          <t>서울</t>
        </is>
      </c>
      <c r="B13" s="17" t="inlineStr">
        <is>
          <t>담당관(4개)</t>
        </is>
      </c>
      <c r="C13" s="6" t="inlineStr">
        <is>
          <t>수사심의담당관, 인권보호담당관, 기획공보담당관, 수사정보담당관</t>
        </is>
      </c>
      <c r="D13" s="16" t="inlineStr">
        <is>
          <t>4급</t>
        </is>
      </c>
      <c r="E13" s="18" t="n">
        <v>4</v>
      </c>
      <c r="F13" s="18" t="n">
        <v>6</v>
      </c>
      <c r="G13" s="18" t="n">
        <v>16</v>
      </c>
      <c r="H13" s="18" t="n">
        <v>17</v>
      </c>
      <c r="I13" s="18" t="n">
        <v>7</v>
      </c>
      <c r="J13" s="18" t="n">
        <v>5</v>
      </c>
      <c r="K13" s="19">
        <f>SUM(E13:J13)</f>
        <v/>
      </c>
      <c r="L13" s="18" t="n">
        <v>0</v>
      </c>
      <c r="M13" s="6" t="n"/>
      <c r="N13" s="6" t="inlineStr">
        <is>
          <t>담당관 4개 합계</t>
        </is>
      </c>
    </row>
    <row r="14">
      <c r="A14" s="16" t="inlineStr">
        <is>
          <t>서울</t>
        </is>
      </c>
      <c r="B14" s="17" t="inlineStr">
        <is>
          <t>사무국</t>
        </is>
      </c>
      <c r="C14" s="6" t="inlineStr">
        <is>
          <t>총무과, 사건과, 증거기록과, 수사지원과, 과학수사지원과</t>
        </is>
      </c>
      <c r="D14" s="16" t="inlineStr">
        <is>
          <t>3급</t>
        </is>
      </c>
      <c r="E14" s="18" t="n">
        <v>3</v>
      </c>
      <c r="F14" s="18" t="n">
        <v>8</v>
      </c>
      <c r="G14" s="18" t="n">
        <v>19</v>
      </c>
      <c r="H14" s="18" t="n">
        <v>35</v>
      </c>
      <c r="I14" s="18" t="n">
        <v>43</v>
      </c>
      <c r="J14" s="18" t="n">
        <v>27</v>
      </c>
      <c r="K14" s="19">
        <f>SUM(E14:J14)</f>
        <v/>
      </c>
      <c r="L14" s="18" t="n">
        <v>1</v>
      </c>
      <c r="M14" s="6" t="inlineStr">
        <is>
          <t>총무과: 전산·방송통신 6급(1)·7급(1)·8급(1)·9급(2) / 시설 7급(1)·8급(1)·9급(1) / 운전 7급(1)·8급(4)·9급(9) / 방호 8급(2)·9급(2) / 기록연구사(1)</t>
        </is>
      </c>
      <c r="N14" s="6" t="n"/>
    </row>
    <row r="15">
      <c r="A15" s="16" t="inlineStr">
        <is>
          <t>서울</t>
        </is>
      </c>
      <c r="B15" s="17" t="inlineStr">
        <is>
          <t>경제범죄수사국</t>
        </is>
      </c>
      <c r="C15" s="6" t="inlineStr">
        <is>
          <t>중대경제범죄수사1과, 중대경제범죄수사2과, 조세범죄수사과, 국제경제범죄수사과, 범죄수익수사과</t>
        </is>
      </c>
      <c r="D15" s="16" t="inlineStr">
        <is>
          <t>3급</t>
        </is>
      </c>
      <c r="E15" s="18" t="n">
        <v>5</v>
      </c>
      <c r="F15" s="18" t="n">
        <v>30</v>
      </c>
      <c r="G15" s="18" t="n">
        <v>40</v>
      </c>
      <c r="H15" s="18" t="n">
        <v>50</v>
      </c>
      <c r="I15" s="18" t="n">
        <v>35</v>
      </c>
      <c r="J15" s="18" t="n">
        <v>15</v>
      </c>
      <c r="K15" s="19">
        <f>SUM(E15:J15)</f>
        <v/>
      </c>
      <c r="L15" s="18" t="n">
        <v>1</v>
      </c>
      <c r="M15" s="6" t="n"/>
      <c r="N15" s="6" t="n"/>
    </row>
    <row r="16">
      <c r="A16" s="16" t="inlineStr">
        <is>
          <t>서울</t>
        </is>
      </c>
      <c r="B16" s="17" t="inlineStr">
        <is>
          <t>금융범죄수사국</t>
        </is>
      </c>
      <c r="C16" s="6" t="inlineStr">
        <is>
          <t>금융범죄수사1과, 금융범죄수사2과, 금융범죄합동수사과, 가상자산합동수사과</t>
        </is>
      </c>
      <c r="D16" s="16" t="inlineStr">
        <is>
          <t>3급</t>
        </is>
      </c>
      <c r="E16" s="18" t="n">
        <v>4</v>
      </c>
      <c r="F16" s="18" t="n">
        <v>24</v>
      </c>
      <c r="G16" s="18" t="n">
        <v>27</v>
      </c>
      <c r="H16" s="18" t="n">
        <v>34</v>
      </c>
      <c r="I16" s="18" t="n">
        <v>24</v>
      </c>
      <c r="J16" s="18" t="n">
        <v>9</v>
      </c>
      <c r="K16" s="19">
        <f>SUM(E16:J16)</f>
        <v/>
      </c>
      <c r="L16" s="18" t="n">
        <v>1</v>
      </c>
      <c r="M16" s="6" t="inlineStr">
        <is>
          <t>가상자산합동수사과: 전산·방송통신 6급(3)·7급(5)·8급(5)·9급(3)</t>
        </is>
      </c>
      <c r="N16" s="6" t="n"/>
    </row>
    <row r="17">
      <c r="A17" s="16" t="inlineStr">
        <is>
          <t>서울</t>
        </is>
      </c>
      <c r="B17" s="17" t="inlineStr">
        <is>
          <t>반독점수사국</t>
        </is>
      </c>
      <c r="C17" s="6" t="inlineStr">
        <is>
          <t>반독점수사1과, 반독점수사2과, 반독점수사3과, 반독점수사4과</t>
        </is>
      </c>
      <c r="D17" s="16" t="inlineStr">
        <is>
          <t>3급</t>
        </is>
      </c>
      <c r="E17" s="18" t="n">
        <v>4</v>
      </c>
      <c r="F17" s="18" t="n">
        <v>12</v>
      </c>
      <c r="G17" s="18" t="n">
        <v>28</v>
      </c>
      <c r="H17" s="18" t="n">
        <v>32</v>
      </c>
      <c r="I17" s="18" t="n">
        <v>28</v>
      </c>
      <c r="J17" s="18" t="n">
        <v>12</v>
      </c>
      <c r="K17" s="19">
        <f>SUM(E17:J17)</f>
        <v/>
      </c>
      <c r="L17" s="18" t="n">
        <v>1</v>
      </c>
      <c r="M17" s="6" t="n"/>
      <c r="N17" s="6" t="n"/>
    </row>
    <row r="18">
      <c r="A18" s="16" t="inlineStr">
        <is>
          <t>서울</t>
        </is>
      </c>
      <c r="B18" s="17" t="inlineStr">
        <is>
          <t>반부패수사국</t>
        </is>
      </c>
      <c r="C18" s="6" t="inlineStr">
        <is>
          <t>반부패수사1과, 반부패수사2과, 반부패수사3과, 공공안전수사과, 사회약자범죄특별수사과</t>
        </is>
      </c>
      <c r="D18" s="16" t="inlineStr">
        <is>
          <t>3급</t>
        </is>
      </c>
      <c r="E18" s="18" t="n">
        <v>4</v>
      </c>
      <c r="F18" s="18" t="n">
        <v>23</v>
      </c>
      <c r="G18" s="18" t="n">
        <v>38</v>
      </c>
      <c r="H18" s="18" t="n">
        <v>43</v>
      </c>
      <c r="I18" s="18" t="n">
        <v>26</v>
      </c>
      <c r="J18" s="18" t="n">
        <v>14</v>
      </c>
      <c r="K18" s="19">
        <f>SUM(E18:J18)</f>
        <v/>
      </c>
      <c r="L18" s="18" t="n">
        <v>1</v>
      </c>
      <c r="M18" s="6" t="n"/>
      <c r="N18" s="6" t="n"/>
    </row>
    <row r="19">
      <c r="A19" s="16" t="inlineStr">
        <is>
          <t>서울</t>
        </is>
      </c>
      <c r="B19" s="17" t="inlineStr">
        <is>
          <t>마약수사국</t>
        </is>
      </c>
      <c r="C19" s="6" t="inlineStr">
        <is>
          <t>마약수사1과, 마약수사2과, 마약수사3과, 마약수사4과</t>
        </is>
      </c>
      <c r="D19" s="16" t="inlineStr">
        <is>
          <t>3급</t>
        </is>
      </c>
      <c r="E19" s="18" t="n">
        <v>4</v>
      </c>
      <c r="F19" s="18" t="n">
        <v>18</v>
      </c>
      <c r="G19" s="18" t="n">
        <v>29</v>
      </c>
      <c r="H19" s="18" t="n">
        <v>33</v>
      </c>
      <c r="I19" s="18" t="n">
        <v>20</v>
      </c>
      <c r="J19" s="18" t="n">
        <v>12</v>
      </c>
      <c r="K19" s="19">
        <f>SUM(E19:J19)</f>
        <v/>
      </c>
      <c r="L19" s="18" t="n">
        <v>1</v>
      </c>
      <c r="M19" s="6" t="n"/>
      <c r="N19" s="6" t="n"/>
    </row>
    <row r="20">
      <c r="A20" s="16" t="inlineStr">
        <is>
          <t>서울</t>
        </is>
      </c>
      <c r="B20" s="17" t="inlineStr">
        <is>
          <t>첨단수사국</t>
        </is>
      </c>
      <c r="C20" s="6" t="inlineStr">
        <is>
          <t>방위사업·산업기술수사과, 사이버정보수사과, 보이스피싱범죄합동수사과</t>
        </is>
      </c>
      <c r="D20" s="16" t="inlineStr">
        <is>
          <t>3급</t>
        </is>
      </c>
      <c r="E20" s="18" t="n">
        <v>3</v>
      </c>
      <c r="F20" s="18" t="n">
        <v>13</v>
      </c>
      <c r="G20" s="18" t="n">
        <v>19</v>
      </c>
      <c r="H20" s="18" t="n">
        <v>20</v>
      </c>
      <c r="I20" s="18" t="n">
        <v>11</v>
      </c>
      <c r="J20" s="18" t="n">
        <v>10</v>
      </c>
      <c r="K20" s="19">
        <f>SUM(E20:J20)</f>
        <v/>
      </c>
      <c r="L20" s="18" t="n">
        <v>1</v>
      </c>
      <c r="M20" s="6" t="inlineStr">
        <is>
          <t>방위사업·산업기술수사과: 전산·방송통신 6급(2)·7급(3)·8급(3)·9급(2) / 사이버정보수사과: 전산·방송통신 6급(1)·7급(2)·8급(2)·9급(1)</t>
        </is>
      </c>
      <c r="N20" s="6" t="n"/>
    </row>
    <row r="21">
      <c r="A21" s="16" t="inlineStr">
        <is>
          <t>수원</t>
        </is>
      </c>
      <c r="B21" s="17" t="inlineStr">
        <is>
          <t>부속실</t>
        </is>
      </c>
      <c r="C21" s="6" t="inlineStr">
        <is>
          <t>수원지방중대범죄수사청장, 차장</t>
        </is>
      </c>
      <c r="D21" s="16" t="inlineStr"/>
      <c r="E21" s="18" t="n">
        <v>0</v>
      </c>
      <c r="F21" s="18" t="n">
        <v>0</v>
      </c>
      <c r="G21" s="18" t="n">
        <v>1</v>
      </c>
      <c r="H21" s="18" t="n">
        <v>0</v>
      </c>
      <c r="I21" s="18" t="n">
        <v>0</v>
      </c>
      <c r="J21" s="18" t="n">
        <v>0</v>
      </c>
      <c r="K21" s="19">
        <f>SUM(E21:J21)</f>
        <v/>
      </c>
      <c r="L21" s="18" t="n">
        <v>2</v>
      </c>
      <c r="M21" s="6" t="n"/>
      <c r="N21" s="6" t="inlineStr">
        <is>
          <t>청장·차장 부속</t>
        </is>
      </c>
    </row>
    <row r="22">
      <c r="A22" s="16" t="inlineStr">
        <is>
          <t>수원</t>
        </is>
      </c>
      <c r="B22" s="17" t="inlineStr">
        <is>
          <t>담당관(4개)</t>
        </is>
      </c>
      <c r="C22" s="6" t="inlineStr">
        <is>
          <t>수사심의담당관, 인권보호담당관, 기획공보담당관, 수사정보담당관</t>
        </is>
      </c>
      <c r="D22" s="16" t="inlineStr">
        <is>
          <t>4급</t>
        </is>
      </c>
      <c r="E22" s="18" t="n">
        <v>0</v>
      </c>
      <c r="F22" s="18" t="n">
        <v>5</v>
      </c>
      <c r="G22" s="18" t="n">
        <v>10</v>
      </c>
      <c r="H22" s="18" t="n">
        <v>10</v>
      </c>
      <c r="I22" s="18" t="n">
        <v>4</v>
      </c>
      <c r="J22" s="18" t="n">
        <v>3</v>
      </c>
      <c r="K22" s="19">
        <f>SUM(E22:J22)</f>
        <v/>
      </c>
      <c r="L22" s="18" t="n">
        <v>0</v>
      </c>
      <c r="M22" s="6" t="n"/>
      <c r="N22" s="6" t="inlineStr">
        <is>
          <t>담당관 4개 합계</t>
        </is>
      </c>
    </row>
    <row r="23">
      <c r="A23" s="16" t="inlineStr">
        <is>
          <t>수원</t>
        </is>
      </c>
      <c r="B23" s="17" t="inlineStr">
        <is>
          <t>경제범죄수사국</t>
        </is>
      </c>
      <c r="C23" s="6" t="inlineStr">
        <is>
          <t>중대경제범죄수사과, 금융범죄수사과, 반독점수사과, 범죄수익수사과</t>
        </is>
      </c>
      <c r="D23" s="16" t="inlineStr">
        <is>
          <t>3급</t>
        </is>
      </c>
      <c r="E23" s="18" t="n">
        <v>3</v>
      </c>
      <c r="F23" s="18" t="n">
        <v>11</v>
      </c>
      <c r="G23" s="18" t="n">
        <v>22</v>
      </c>
      <c r="H23" s="18" t="n">
        <v>22</v>
      </c>
      <c r="I23" s="18" t="n">
        <v>17</v>
      </c>
      <c r="J23" s="18" t="n">
        <v>8</v>
      </c>
      <c r="K23" s="19">
        <f>SUM(E23:J23)</f>
        <v/>
      </c>
      <c r="L23" s="18" t="n">
        <v>1</v>
      </c>
      <c r="M23" s="6" t="n"/>
      <c r="N23" s="6" t="n"/>
    </row>
    <row r="24">
      <c r="A24" s="16" t="inlineStr">
        <is>
          <t>수원</t>
        </is>
      </c>
      <c r="B24" s="17" t="inlineStr">
        <is>
          <t>반부패수사국</t>
        </is>
      </c>
      <c r="C24" s="6" t="inlineStr">
        <is>
          <t>반부패수사1과, 반부패수사2과, 마약합동수사과, 방위사업·산업기술수사과</t>
        </is>
      </c>
      <c r="D24" s="16" t="inlineStr">
        <is>
          <t>3급</t>
        </is>
      </c>
      <c r="E24" s="18" t="n">
        <v>3</v>
      </c>
      <c r="F24" s="18" t="n">
        <v>17</v>
      </c>
      <c r="G24" s="18" t="n">
        <v>27</v>
      </c>
      <c r="H24" s="18" t="n">
        <v>28</v>
      </c>
      <c r="I24" s="18" t="n">
        <v>18</v>
      </c>
      <c r="J24" s="18" t="n">
        <v>14</v>
      </c>
      <c r="K24" s="19">
        <f>SUM(E24:J24)</f>
        <v/>
      </c>
      <c r="L24" s="18" t="n">
        <v>1</v>
      </c>
      <c r="M24" s="6" t="n"/>
      <c r="N24" s="6" t="n"/>
    </row>
    <row r="25">
      <c r="A25" s="16" t="inlineStr">
        <is>
          <t>수원</t>
        </is>
      </c>
      <c r="B25" s="17" t="inlineStr">
        <is>
          <t>사무국</t>
        </is>
      </c>
      <c r="C25" s="6" t="inlineStr">
        <is>
          <t>총무과, 사건과, 수사지원과, 과학수사지원과</t>
        </is>
      </c>
      <c r="D25" s="16" t="inlineStr">
        <is>
          <t>3급</t>
        </is>
      </c>
      <c r="E25" s="18" t="n">
        <v>0</v>
      </c>
      <c r="F25" s="18" t="n">
        <v>5</v>
      </c>
      <c r="G25" s="18" t="n">
        <v>9</v>
      </c>
      <c r="H25" s="18" t="n">
        <v>14</v>
      </c>
      <c r="I25" s="18" t="n">
        <v>14</v>
      </c>
      <c r="J25" s="18" t="n">
        <v>10</v>
      </c>
      <c r="K25" s="19">
        <f>SUM(E25:J25)</f>
        <v/>
      </c>
      <c r="L25" s="18" t="n">
        <v>1</v>
      </c>
      <c r="M25" s="6" t="inlineStr">
        <is>
          <t>총무과: 전산·방송통신 7급(1)·8급(1) / 시설 7급(1)·8급(1)·9급(1) / 운전 8급(2)·9급(4) / 방호 8급(2)·9급(2) / 기록연구사(1)</t>
        </is>
      </c>
      <c r="N25" s="6" t="n"/>
    </row>
    <row r="26">
      <c r="A26" s="16" t="inlineStr">
        <is>
          <t>대전</t>
        </is>
      </c>
      <c r="B26" s="17" t="inlineStr">
        <is>
          <t>부속실</t>
        </is>
      </c>
      <c r="C26" s="6" t="inlineStr">
        <is>
          <t>대전지방중대범죄수사청장, 차장</t>
        </is>
      </c>
      <c r="D26" s="16" t="inlineStr"/>
      <c r="E26" s="18" t="n">
        <v>0</v>
      </c>
      <c r="F26" s="18" t="n">
        <v>0</v>
      </c>
      <c r="G26" s="18" t="n">
        <v>1</v>
      </c>
      <c r="H26" s="18" t="n">
        <v>0</v>
      </c>
      <c r="I26" s="18" t="n">
        <v>0</v>
      </c>
      <c r="J26" s="18" t="n">
        <v>0</v>
      </c>
      <c r="K26" s="19">
        <f>SUM(E26:J26)</f>
        <v/>
      </c>
      <c r="L26" s="18" t="n">
        <v>2</v>
      </c>
      <c r="M26" s="6" t="n"/>
      <c r="N26" s="6" t="inlineStr">
        <is>
          <t>청장·차장 부속</t>
        </is>
      </c>
    </row>
    <row r="27">
      <c r="A27" s="16" t="inlineStr">
        <is>
          <t>대전</t>
        </is>
      </c>
      <c r="B27" s="17" t="inlineStr">
        <is>
          <t>담당관(4개)</t>
        </is>
      </c>
      <c r="C27" s="6" t="inlineStr">
        <is>
          <t>수사심의담당관, 인권보호담당관, 기획공보담당관, 수사정보담당관</t>
        </is>
      </c>
      <c r="D27" s="16" t="inlineStr">
        <is>
          <t>4급</t>
        </is>
      </c>
      <c r="E27" s="18" t="n">
        <v>0</v>
      </c>
      <c r="F27" s="18" t="n">
        <v>4</v>
      </c>
      <c r="G27" s="18" t="n">
        <v>8</v>
      </c>
      <c r="H27" s="18" t="n">
        <v>7</v>
      </c>
      <c r="I27" s="18" t="n">
        <v>4</v>
      </c>
      <c r="J27" s="18" t="n">
        <v>3</v>
      </c>
      <c r="K27" s="19">
        <f>SUM(E27:J27)</f>
        <v/>
      </c>
      <c r="L27" s="18" t="n">
        <v>0</v>
      </c>
      <c r="M27" s="6" t="n"/>
      <c r="N27" s="6" t="inlineStr">
        <is>
          <t>담당관 4개 합계</t>
        </is>
      </c>
    </row>
    <row r="28">
      <c r="A28" s="16" t="inlineStr">
        <is>
          <t>대전</t>
        </is>
      </c>
      <c r="B28" s="17" t="inlineStr">
        <is>
          <t>경제범죄수사국</t>
        </is>
      </c>
      <c r="C28" s="6" t="inlineStr">
        <is>
          <t>중대경제범죄수사과, 금융범죄수사과, 국가재정범죄합동수사과, 범죄수익수사과</t>
        </is>
      </c>
      <c r="D28" s="16" t="inlineStr">
        <is>
          <t>3급</t>
        </is>
      </c>
      <c r="E28" s="18" t="n">
        <v>6</v>
      </c>
      <c r="F28" s="18" t="n">
        <v>8</v>
      </c>
      <c r="G28" s="18" t="n">
        <v>15</v>
      </c>
      <c r="H28" s="18" t="n">
        <v>17</v>
      </c>
      <c r="I28" s="18" t="n">
        <v>7</v>
      </c>
      <c r="J28" s="18" t="n">
        <v>9</v>
      </c>
      <c r="K28" s="19">
        <f>SUM(E28:J28)</f>
        <v/>
      </c>
      <c r="L28" s="18" t="n">
        <v>1</v>
      </c>
      <c r="M28" s="6" t="n"/>
      <c r="N28" s="6" t="n"/>
    </row>
    <row r="29">
      <c r="A29" s="16" t="inlineStr">
        <is>
          <t>대전</t>
        </is>
      </c>
      <c r="B29" s="17" t="inlineStr">
        <is>
          <t>반부패수사국</t>
        </is>
      </c>
      <c r="C29" s="6" t="inlineStr">
        <is>
          <t>반부패수사1과, 반부패수사2과, 마약수사과, 산업기술수사과</t>
        </is>
      </c>
      <c r="D29" s="16" t="inlineStr">
        <is>
          <t>3급</t>
        </is>
      </c>
      <c r="E29" s="18" t="n">
        <v>4</v>
      </c>
      <c r="F29" s="18" t="n">
        <v>12</v>
      </c>
      <c r="G29" s="18" t="n">
        <v>20</v>
      </c>
      <c r="H29" s="18" t="n">
        <v>24</v>
      </c>
      <c r="I29" s="18" t="n">
        <v>11</v>
      </c>
      <c r="J29" s="18" t="n">
        <v>6</v>
      </c>
      <c r="K29" s="19">
        <f>SUM(E29:J29)</f>
        <v/>
      </c>
      <c r="L29" s="18" t="n">
        <v>1</v>
      </c>
      <c r="M29" s="6" t="inlineStr">
        <is>
          <t>산업기술수사과: 전산·방송통신 6급(1)·7급(1)·9급(1)</t>
        </is>
      </c>
      <c r="N29" s="6" t="n"/>
    </row>
    <row r="30">
      <c r="A30" s="16" t="inlineStr">
        <is>
          <t>대전</t>
        </is>
      </c>
      <c r="B30" s="17" t="inlineStr">
        <is>
          <t>사무국</t>
        </is>
      </c>
      <c r="C30" s="6" t="inlineStr">
        <is>
          <t>총무과, 사건과, 수사지원과, 과학수사지원과</t>
        </is>
      </c>
      <c r="D30" s="16" t="inlineStr">
        <is>
          <t>3급</t>
        </is>
      </c>
      <c r="E30" s="18" t="n">
        <v>0</v>
      </c>
      <c r="F30" s="18" t="n">
        <v>5</v>
      </c>
      <c r="G30" s="18" t="n">
        <v>8</v>
      </c>
      <c r="H30" s="18" t="n">
        <v>11</v>
      </c>
      <c r="I30" s="18" t="n">
        <v>11</v>
      </c>
      <c r="J30" s="18" t="n">
        <v>9</v>
      </c>
      <c r="K30" s="19">
        <f>SUM(E30:J30)</f>
        <v/>
      </c>
      <c r="L30" s="18" t="n">
        <v>1</v>
      </c>
      <c r="M30" s="6" t="inlineStr">
        <is>
          <t>총무과: 전산·방송통신 7급(1)·8급(1) / 시설 7급(1)·8급(1)·9급(1) / 운전 8급(1)·9급(5) / 방호 8급(2)·9급(2) / 기록연구사(1) · 과학수사지원과: 전산·방송통신 6급(1)</t>
        </is>
      </c>
      <c r="N30" s="6" t="n"/>
    </row>
    <row r="31">
      <c r="A31" s="16" t="inlineStr">
        <is>
          <t>대구</t>
        </is>
      </c>
      <c r="B31" s="17" t="inlineStr">
        <is>
          <t>부속실</t>
        </is>
      </c>
      <c r="C31" s="6" t="inlineStr">
        <is>
          <t>대구지방중대범죄수사청장, 차장</t>
        </is>
      </c>
      <c r="D31" s="16" t="inlineStr"/>
      <c r="E31" s="18" t="n">
        <v>0</v>
      </c>
      <c r="F31" s="18" t="n">
        <v>0</v>
      </c>
      <c r="G31" s="18" t="n">
        <v>1</v>
      </c>
      <c r="H31" s="18" t="n">
        <v>0</v>
      </c>
      <c r="I31" s="18" t="n">
        <v>0</v>
      </c>
      <c r="J31" s="18" t="n">
        <v>0</v>
      </c>
      <c r="K31" s="19">
        <f>SUM(E31:J31)</f>
        <v/>
      </c>
      <c r="L31" s="18" t="n">
        <v>2</v>
      </c>
      <c r="M31" s="6" t="n"/>
      <c r="N31" s="6" t="inlineStr">
        <is>
          <t>청장·차장 부속</t>
        </is>
      </c>
    </row>
    <row r="32">
      <c r="A32" s="16" t="inlineStr">
        <is>
          <t>대구</t>
        </is>
      </c>
      <c r="B32" s="17" t="inlineStr">
        <is>
          <t>담당관(4개)</t>
        </is>
      </c>
      <c r="C32" s="6" t="inlineStr">
        <is>
          <t>수사심의담당관, 인권보호담당관, 기획공보담당관, 수사정보담당관</t>
        </is>
      </c>
      <c r="D32" s="16" t="inlineStr">
        <is>
          <t>4급</t>
        </is>
      </c>
      <c r="E32" s="18" t="n">
        <v>0</v>
      </c>
      <c r="F32" s="18" t="n">
        <v>5</v>
      </c>
      <c r="G32" s="18" t="n">
        <v>8</v>
      </c>
      <c r="H32" s="18" t="n">
        <v>7</v>
      </c>
      <c r="I32" s="18" t="n">
        <v>4</v>
      </c>
      <c r="J32" s="18" t="n">
        <v>3</v>
      </c>
      <c r="K32" s="19">
        <f>SUM(E32:J32)</f>
        <v/>
      </c>
      <c r="L32" s="18" t="n">
        <v>0</v>
      </c>
      <c r="M32" s="6" t="n"/>
      <c r="N32" s="6" t="inlineStr">
        <is>
          <t>담당관 4개 합계</t>
        </is>
      </c>
    </row>
    <row r="33">
      <c r="A33" s="16" t="inlineStr">
        <is>
          <t>대구</t>
        </is>
      </c>
      <c r="B33" s="17" t="inlineStr">
        <is>
          <t>경제범죄수사국</t>
        </is>
      </c>
      <c r="C33" s="6" t="inlineStr">
        <is>
          <t>중대경제범죄수사과, 금융범죄수사과, 범죄수익수사과</t>
        </is>
      </c>
      <c r="D33" s="16" t="inlineStr">
        <is>
          <t>3급</t>
        </is>
      </c>
      <c r="E33" s="18" t="n">
        <v>2</v>
      </c>
      <c r="F33" s="18" t="n">
        <v>7</v>
      </c>
      <c r="G33" s="18" t="n">
        <v>12</v>
      </c>
      <c r="H33" s="18" t="n">
        <v>14</v>
      </c>
      <c r="I33" s="18" t="n">
        <v>6</v>
      </c>
      <c r="J33" s="18" t="n">
        <v>5</v>
      </c>
      <c r="K33" s="19">
        <f>SUM(E33:J33)</f>
        <v/>
      </c>
      <c r="L33" s="18" t="n">
        <v>1</v>
      </c>
      <c r="M33" s="6" t="n"/>
      <c r="N33" s="6" t="n"/>
    </row>
    <row r="34">
      <c r="A34" s="16" t="inlineStr">
        <is>
          <t>대구</t>
        </is>
      </c>
      <c r="B34" s="17" t="inlineStr">
        <is>
          <t>반부패수사국</t>
        </is>
      </c>
      <c r="C34" s="6" t="inlineStr">
        <is>
          <t>반부패수사1과, 반부패수사2과, 마약수사과</t>
        </is>
      </c>
      <c r="D34" s="16" t="inlineStr">
        <is>
          <t>3급</t>
        </is>
      </c>
      <c r="E34" s="18" t="n">
        <v>4</v>
      </c>
      <c r="F34" s="18" t="n">
        <v>8</v>
      </c>
      <c r="G34" s="18" t="n">
        <v>17</v>
      </c>
      <c r="H34" s="18" t="n">
        <v>20</v>
      </c>
      <c r="I34" s="18" t="n">
        <v>10</v>
      </c>
      <c r="J34" s="18" t="n">
        <v>5</v>
      </c>
      <c r="K34" s="19">
        <f>SUM(E34:J34)</f>
        <v/>
      </c>
      <c r="L34" s="18" t="n">
        <v>1</v>
      </c>
      <c r="M34" s="6" t="n"/>
      <c r="N34" s="6" t="n"/>
    </row>
    <row r="35">
      <c r="A35" s="16" t="inlineStr">
        <is>
          <t>대구</t>
        </is>
      </c>
      <c r="B35" s="17" t="inlineStr">
        <is>
          <t>사무국</t>
        </is>
      </c>
      <c r="C35" s="6" t="inlineStr">
        <is>
          <t>총무과, 사건과, 수사지원과, 과학수사지원과</t>
        </is>
      </c>
      <c r="D35" s="16" t="inlineStr">
        <is>
          <t>3급</t>
        </is>
      </c>
      <c r="E35" s="18" t="n">
        <v>0</v>
      </c>
      <c r="F35" s="18" t="n">
        <v>4</v>
      </c>
      <c r="G35" s="18" t="n">
        <v>8</v>
      </c>
      <c r="H35" s="18" t="n">
        <v>12</v>
      </c>
      <c r="I35" s="18" t="n">
        <v>11</v>
      </c>
      <c r="J35" s="18" t="n">
        <v>9</v>
      </c>
      <c r="K35" s="19">
        <f>SUM(E35:J35)</f>
        <v/>
      </c>
      <c r="L35" s="18" t="n">
        <v>1</v>
      </c>
      <c r="M35" s="6" t="inlineStr">
        <is>
          <t>총무과: 전산·방송통신 7급(1)·8급(1) / 시설 7급(1)·8급(1)·9급(1) / 운전 8급(1)·9급(5) / 방호 8급(2)·9급(2) / 기록연구사(1) · 과학수사지원과: 전산·방송통신 9급(1)</t>
        </is>
      </c>
      <c r="N35" s="6" t="n"/>
    </row>
    <row r="36">
      <c r="A36" s="16" t="inlineStr">
        <is>
          <t>부산</t>
        </is>
      </c>
      <c r="B36" s="17" t="inlineStr">
        <is>
          <t>부속실</t>
        </is>
      </c>
      <c r="C36" s="6" t="inlineStr">
        <is>
          <t>부산지방중대범죄수사청장, 차장</t>
        </is>
      </c>
      <c r="D36" s="16" t="inlineStr"/>
      <c r="E36" s="18" t="n">
        <v>0</v>
      </c>
      <c r="F36" s="18" t="n">
        <v>0</v>
      </c>
      <c r="G36" s="18" t="n">
        <v>1</v>
      </c>
      <c r="H36" s="18" t="n">
        <v>0</v>
      </c>
      <c r="I36" s="18" t="n">
        <v>0</v>
      </c>
      <c r="J36" s="18" t="n">
        <v>0</v>
      </c>
      <c r="K36" s="19">
        <f>SUM(E36:J36)</f>
        <v/>
      </c>
      <c r="L36" s="18" t="n">
        <v>2</v>
      </c>
      <c r="M36" s="6" t="n"/>
      <c r="N36" s="6" t="inlineStr">
        <is>
          <t>청장·차장 부속</t>
        </is>
      </c>
    </row>
    <row r="37">
      <c r="A37" s="16" t="inlineStr">
        <is>
          <t>부산</t>
        </is>
      </c>
      <c r="B37" s="17" t="inlineStr">
        <is>
          <t>담당관(4개)</t>
        </is>
      </c>
      <c r="C37" s="6" t="inlineStr">
        <is>
          <t>수사심의담당관, 인권보호담당관, 기획공보담당관, 수사정보담당관</t>
        </is>
      </c>
      <c r="D37" s="16" t="inlineStr">
        <is>
          <t>4급</t>
        </is>
      </c>
      <c r="E37" s="18" t="n">
        <v>0</v>
      </c>
      <c r="F37" s="18" t="n">
        <v>5</v>
      </c>
      <c r="G37" s="18" t="n">
        <v>10</v>
      </c>
      <c r="H37" s="18" t="n">
        <v>8</v>
      </c>
      <c r="I37" s="18" t="n">
        <v>4</v>
      </c>
      <c r="J37" s="18" t="n">
        <v>3</v>
      </c>
      <c r="K37" s="19">
        <f>SUM(E37:J37)</f>
        <v/>
      </c>
      <c r="L37" s="18" t="n">
        <v>0</v>
      </c>
      <c r="M37" s="6" t="n"/>
      <c r="N37" s="6" t="inlineStr">
        <is>
          <t>담당관 4개 합계</t>
        </is>
      </c>
    </row>
    <row r="38">
      <c r="A38" s="16" t="inlineStr">
        <is>
          <t>부산</t>
        </is>
      </c>
      <c r="B38" s="17" t="inlineStr">
        <is>
          <t>경제범죄수사국</t>
        </is>
      </c>
      <c r="C38" s="6" t="inlineStr">
        <is>
          <t>중대경제범죄수사과, 국제경제범죄수사과, 금융범죄수사과, 범죄수익수사과</t>
        </is>
      </c>
      <c r="D38" s="16" t="inlineStr">
        <is>
          <t>3급</t>
        </is>
      </c>
      <c r="E38" s="18" t="n">
        <v>3</v>
      </c>
      <c r="F38" s="18" t="n">
        <v>13</v>
      </c>
      <c r="G38" s="18" t="n">
        <v>20</v>
      </c>
      <c r="H38" s="18" t="n">
        <v>26</v>
      </c>
      <c r="I38" s="18" t="n">
        <v>15</v>
      </c>
      <c r="J38" s="18" t="n">
        <v>5</v>
      </c>
      <c r="K38" s="19">
        <f>SUM(E38:J38)</f>
        <v/>
      </c>
      <c r="L38" s="18" t="n">
        <v>1</v>
      </c>
      <c r="M38" s="6" t="n"/>
      <c r="N38" s="6" t="n"/>
    </row>
    <row r="39">
      <c r="A39" s="16" t="inlineStr">
        <is>
          <t>부산</t>
        </is>
      </c>
      <c r="B39" s="17" t="inlineStr">
        <is>
          <t>반부패수사국</t>
        </is>
      </c>
      <c r="C39" s="6" t="inlineStr">
        <is>
          <t>반부패수사1과, 반부패수사2과, 마약수사1과, 마약수사2과</t>
        </is>
      </c>
      <c r="D39" s="16" t="inlineStr">
        <is>
          <t>3급</t>
        </is>
      </c>
      <c r="E39" s="18" t="n">
        <v>3</v>
      </c>
      <c r="F39" s="18" t="n">
        <v>16</v>
      </c>
      <c r="G39" s="18" t="n">
        <v>25</v>
      </c>
      <c r="H39" s="18" t="n">
        <v>31</v>
      </c>
      <c r="I39" s="18" t="n">
        <v>19</v>
      </c>
      <c r="J39" s="18" t="n">
        <v>12</v>
      </c>
      <c r="K39" s="19">
        <f>SUM(E39:J39)</f>
        <v/>
      </c>
      <c r="L39" s="18" t="n">
        <v>1</v>
      </c>
      <c r="M39" s="6" t="n"/>
      <c r="N39" s="6" t="n"/>
    </row>
    <row r="40">
      <c r="A40" s="16" t="inlineStr">
        <is>
          <t>부산</t>
        </is>
      </c>
      <c r="B40" s="17" t="inlineStr">
        <is>
          <t>사무국</t>
        </is>
      </c>
      <c r="C40" s="6" t="inlineStr">
        <is>
          <t>총무과, 사건과, 수사지원과, 과학수사지원과</t>
        </is>
      </c>
      <c r="D40" s="16" t="inlineStr">
        <is>
          <t>3급</t>
        </is>
      </c>
      <c r="E40" s="18" t="n">
        <v>0</v>
      </c>
      <c r="F40" s="18" t="n">
        <v>5</v>
      </c>
      <c r="G40" s="18" t="n">
        <v>11</v>
      </c>
      <c r="H40" s="18" t="n">
        <v>15</v>
      </c>
      <c r="I40" s="18" t="n">
        <v>13</v>
      </c>
      <c r="J40" s="18" t="n">
        <v>13</v>
      </c>
      <c r="K40" s="19">
        <f>SUM(E40:J40)</f>
        <v/>
      </c>
      <c r="L40" s="18" t="n">
        <v>1</v>
      </c>
      <c r="M40" s="6" t="inlineStr">
        <is>
          <t>총무과: 전산·방송통신 7급(1)·8급(1) / 시설 7급(1)·8급(1)·9급(1) / 운전 8급(2)·9급(4) / 방호 8급(2)·9급(2) / 기록연구사(1) · 과학수사지원과: 전산·방송통신 9급(1), 보건연구관(1), 보건연구사(2)</t>
        </is>
      </c>
      <c r="N40" s="6" t="n"/>
    </row>
    <row r="41">
      <c r="A41" s="16" t="inlineStr">
        <is>
          <t>광주</t>
        </is>
      </c>
      <c r="B41" s="17" t="inlineStr">
        <is>
          <t>부속실</t>
        </is>
      </c>
      <c r="C41" s="6" t="inlineStr">
        <is>
          <t>광주지방중대범죄수사청장, 차장</t>
        </is>
      </c>
      <c r="D41" s="16" t="inlineStr"/>
      <c r="E41" s="18" t="n">
        <v>0</v>
      </c>
      <c r="F41" s="18" t="n">
        <v>0</v>
      </c>
      <c r="G41" s="18" t="n">
        <v>1</v>
      </c>
      <c r="H41" s="18" t="n">
        <v>0</v>
      </c>
      <c r="I41" s="18" t="n">
        <v>0</v>
      </c>
      <c r="J41" s="18" t="n">
        <v>0</v>
      </c>
      <c r="K41" s="19">
        <f>SUM(E41:J41)</f>
        <v/>
      </c>
      <c r="L41" s="18" t="n">
        <v>2</v>
      </c>
      <c r="M41" s="6" t="n"/>
      <c r="N41" s="6" t="inlineStr">
        <is>
          <t>청장·차장 부속</t>
        </is>
      </c>
    </row>
    <row r="42">
      <c r="A42" s="16" t="inlineStr">
        <is>
          <t>광주</t>
        </is>
      </c>
      <c r="B42" s="17" t="inlineStr">
        <is>
          <t>담당관(4개)</t>
        </is>
      </c>
      <c r="C42" s="6" t="inlineStr">
        <is>
          <t>수사심의담당관, 인권보호담당관, 기획공보담당관, 수사정보담당관</t>
        </is>
      </c>
      <c r="D42" s="16" t="inlineStr">
        <is>
          <t>4급</t>
        </is>
      </c>
      <c r="E42" s="18" t="n">
        <v>0</v>
      </c>
      <c r="F42" s="18" t="n">
        <v>5</v>
      </c>
      <c r="G42" s="18" t="n">
        <v>8</v>
      </c>
      <c r="H42" s="18" t="n">
        <v>8</v>
      </c>
      <c r="I42" s="18" t="n">
        <v>4</v>
      </c>
      <c r="J42" s="18" t="n">
        <v>3</v>
      </c>
      <c r="K42" s="19">
        <f>SUM(E42:J42)</f>
        <v/>
      </c>
      <c r="L42" s="18" t="n">
        <v>0</v>
      </c>
      <c r="M42" s="6" t="n"/>
      <c r="N42" s="6" t="inlineStr">
        <is>
          <t>담당관 4개 합계</t>
        </is>
      </c>
    </row>
    <row r="43">
      <c r="A43" s="16" t="inlineStr">
        <is>
          <t>광주</t>
        </is>
      </c>
      <c r="B43" s="17" t="inlineStr">
        <is>
          <t>경제범죄수사국</t>
        </is>
      </c>
      <c r="C43" s="6" t="inlineStr">
        <is>
          <t>중대경제범죄수사과, 금융범죄수사과, 범죄수익수사과</t>
        </is>
      </c>
      <c r="D43" s="16" t="inlineStr">
        <is>
          <t>3급</t>
        </is>
      </c>
      <c r="E43" s="18" t="n">
        <v>2</v>
      </c>
      <c r="F43" s="18" t="n">
        <v>8</v>
      </c>
      <c r="G43" s="18" t="n">
        <v>13</v>
      </c>
      <c r="H43" s="18" t="n">
        <v>16</v>
      </c>
      <c r="I43" s="18" t="n">
        <v>6</v>
      </c>
      <c r="J43" s="18" t="n">
        <v>5</v>
      </c>
      <c r="K43" s="19">
        <f>SUM(E43:J43)</f>
        <v/>
      </c>
      <c r="L43" s="18" t="n">
        <v>1</v>
      </c>
      <c r="M43" s="6" t="n"/>
      <c r="N43" s="6" t="n"/>
    </row>
    <row r="44">
      <c r="A44" s="16" t="inlineStr">
        <is>
          <t>광주</t>
        </is>
      </c>
      <c r="B44" s="17" t="inlineStr">
        <is>
          <t>반부패수사국</t>
        </is>
      </c>
      <c r="C44" s="6" t="inlineStr">
        <is>
          <t>반부패수사1과, 반부패수사2과, 마약수사과</t>
        </is>
      </c>
      <c r="D44" s="16" t="inlineStr">
        <is>
          <t>3급</t>
        </is>
      </c>
      <c r="E44" s="18" t="n">
        <v>4</v>
      </c>
      <c r="F44" s="18" t="n">
        <v>9</v>
      </c>
      <c r="G44" s="18" t="n">
        <v>19</v>
      </c>
      <c r="H44" s="18" t="n">
        <v>22</v>
      </c>
      <c r="I44" s="18" t="n">
        <v>10</v>
      </c>
      <c r="J44" s="18" t="n">
        <v>5</v>
      </c>
      <c r="K44" s="19">
        <f>SUM(E44:J44)</f>
        <v/>
      </c>
      <c r="L44" s="18" t="n">
        <v>1</v>
      </c>
      <c r="M44" s="6" t="n"/>
      <c r="N44" s="6" t="n"/>
    </row>
    <row r="45">
      <c r="A45" s="16" t="inlineStr">
        <is>
          <t>광주</t>
        </is>
      </c>
      <c r="B45" s="17" t="inlineStr">
        <is>
          <t>사무국</t>
        </is>
      </c>
      <c r="C45" s="6" t="inlineStr">
        <is>
          <t>총무과, 사건과, 수사지원과, 과학수사지원과</t>
        </is>
      </c>
      <c r="D45" s="16" t="inlineStr">
        <is>
          <t>3급</t>
        </is>
      </c>
      <c r="E45" s="18" t="n">
        <v>0</v>
      </c>
      <c r="F45" s="18" t="n">
        <v>5</v>
      </c>
      <c r="G45" s="18" t="n">
        <v>9</v>
      </c>
      <c r="H45" s="18" t="n">
        <v>12</v>
      </c>
      <c r="I45" s="18" t="n">
        <v>13</v>
      </c>
      <c r="J45" s="18" t="n">
        <v>11</v>
      </c>
      <c r="K45" s="19">
        <f>SUM(E45:J45)</f>
        <v/>
      </c>
      <c r="L45" s="18" t="n">
        <v>1</v>
      </c>
      <c r="M45" s="6" t="inlineStr">
        <is>
          <t>총무과: 전산·방송통신 7급(1)·8급(1) / 시설·공업 7급(1)·8급(1)·9급(1) / 운전 8급(1)·9급(5) / 방호 8급(2)·9급(2) / 기록연구사(1) · 과학수사지원과: 전산·방송통신 7급(1)·9급(1)</t>
        </is>
      </c>
      <c r="N45" s="6" t="n"/>
    </row>
    <row r="47">
      <c r="A47" s="15" t="inlineStr">
        <is>
          <t>출처: 중대범죄수사청 특례임용 임용희망 신청 공고(2026. 8. 7.) 별첨2 ‘중수청 4급(비보직) 이하 청별·부서별 정원표’. 직제 시행규칙 제정 등에 따라 변경될 수 있음.</t>
        </is>
      </c>
    </row>
  </sheetData>
  <autoFilter ref="A1:N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10" customWidth="1" min="5" max="5"/>
    <col width="22" customWidth="1" min="6" max="6"/>
    <col width="70" customWidth="1" min="7" max="7"/>
    <col width="60" customWidth="1" min="8" max="8"/>
    <col width="30" customWidth="1" min="9" max="9"/>
    <col width="30" customWidth="1" min="10" max="10"/>
  </cols>
  <sheetData>
    <row r="1" ht="22" customHeight="1">
      <c r="A1" s="4" t="inlineStr">
        <is>
          <t>청</t>
        </is>
      </c>
      <c r="B1" s="4" t="inlineStr">
        <is>
          <t>구분</t>
        </is>
      </c>
      <c r="C1" s="4" t="inlineStr">
        <is>
          <t>상위 부서</t>
        </is>
      </c>
      <c r="D1" s="4" t="inlineStr">
        <is>
          <t>부서</t>
        </is>
      </c>
      <c r="E1" s="4" t="inlineStr">
        <is>
          <t>보직 계급</t>
        </is>
      </c>
      <c r="F1" s="4" t="inlineStr">
        <is>
          <t>근거 조문</t>
        </is>
      </c>
      <c r="G1" s="4" t="inlineStr">
        <is>
          <t>분장 업무</t>
        </is>
      </c>
      <c r="H1" s="4" t="inlineStr">
        <is>
          <t>사건 범위</t>
        </is>
      </c>
      <c r="I1" s="4" t="inlineStr">
        <is>
          <t>일반직</t>
        </is>
      </c>
      <c r="J1" s="4" t="inlineStr">
        <is>
          <t>비고</t>
        </is>
      </c>
    </row>
    <row r="2">
      <c r="A2" s="16" t="inlineStr">
        <is>
          <t>본청</t>
        </is>
      </c>
      <c r="B2" s="6" t="inlineStr">
        <is>
          <t>지휘부</t>
        </is>
      </c>
      <c r="C2" s="6" t="inlineStr"/>
      <c r="D2" s="17" t="inlineStr">
        <is>
          <t>중대범죄수사청장</t>
        </is>
      </c>
      <c r="E2" s="16" t="inlineStr">
        <is>
          <t>정무직</t>
        </is>
      </c>
      <c r="F2" s="6" t="inlineStr">
        <is>
          <t>법 §7 · 직제 §3</t>
        </is>
      </c>
      <c r="G2" s="6" t="inlineStr">
        <is>
          <t>1. 중수청의 사무를 총괄하고 직원을 지휘·감독 (법 §7②)
2. 중대범죄등에 대한 수사관의 수사와 법률에 따라 중수청 권한에 속하는 사항 관장 (직제 §3)
3. 후보추천위원회 추천 → 행안부장관 제청 → 국회 인사청문 → 대통령 임명, 임기 2년·중임 불가 (법 §7③④)</t>
        </is>
      </c>
      <c r="H2" s="6" t="inlineStr"/>
      <c r="I2" s="6" t="inlineStr"/>
      <c r="J2" s="6" t="inlineStr"/>
    </row>
    <row r="3">
      <c r="A3" s="16" t="inlineStr">
        <is>
          <t>본청</t>
        </is>
      </c>
      <c r="B3" s="6" t="inlineStr">
        <is>
          <t>지휘부</t>
        </is>
      </c>
      <c r="C3" s="6" t="inlineStr">
        <is>
          <t>중대범죄수사청장</t>
        </is>
      </c>
      <c r="D3" s="17" t="inlineStr">
        <is>
          <t>차장</t>
        </is>
      </c>
      <c r="E3" s="16" t="inlineStr">
        <is>
          <t>1급</t>
        </is>
      </c>
      <c r="F3" s="6" t="inlineStr">
        <is>
          <t>법 §10 · 직제 §6</t>
        </is>
      </c>
      <c r="G3" s="6" t="inlineStr">
        <is>
          <t>1. 청장을 보좌하고, 청장이 부득이한 사유로 직무를 수행할 수 없을 때 직무 대리 (법 §10②)
2. 기획조정관·인사정책기획관·수사정보관의 보좌를 받음 (직제 §5③)</t>
        </is>
      </c>
      <c r="H3" s="6" t="inlineStr"/>
      <c r="I3" s="6" t="inlineStr"/>
      <c r="J3" s="6" t="inlineStr"/>
    </row>
    <row r="4">
      <c r="A4" s="16" t="inlineStr">
        <is>
          <t>본청</t>
        </is>
      </c>
      <c r="B4" s="6" t="inlineStr">
        <is>
          <t>청장 직속 보좌기관</t>
        </is>
      </c>
      <c r="C4" s="6" t="inlineStr"/>
      <c r="D4" s="17" t="inlineStr">
        <is>
          <t>감찰관</t>
        </is>
      </c>
      <c r="E4" s="16" t="inlineStr">
        <is>
          <t>2급</t>
        </is>
      </c>
      <c r="F4" s="6" t="inlineStr">
        <is>
          <t>직제 §7</t>
        </is>
      </c>
      <c r="G4" s="6" t="inlineStr">
        <is>
          <t>1. 소속 공무원의 비위 조사
2. 비위 정보수집·관리, 진정 등 내사사건 조사·처리
3. 감찰 법령·제도·정책 검토·연구·개선
4. 사무감사·기강감사 및 사건평정
5. 감사제도 운영 및 감사계획 수립·조정
6. 인권정책 총괄, 범죄피해자 보호·지원, 인권침해 감독·예방
7. 양성평등 정책 및 성희롱·성폭력 예방
8. 법 §44 수사심의 제도, 법 §47 손실보상 제도 운영
9. 퇴직공직자 취업 제한
10. 병역사항 신고 및 재산등록</t>
        </is>
      </c>
      <c r="H4" s="6" t="inlineStr"/>
      <c r="I4" s="6" t="inlineStr">
        <is>
          <t>인권·양성평등담당관: 전문경력관 나급(1)</t>
        </is>
      </c>
      <c r="J4" s="6" t="inlineStr">
        <is>
          <t>감찰관은 법 §26에 따라 내부·외부 공개모집으로 임용합니다(임기 2년, 연임 불가).</t>
        </is>
      </c>
    </row>
    <row r="5">
      <c r="A5" s="16" t="inlineStr">
        <is>
          <t>본청</t>
        </is>
      </c>
      <c r="B5" s="6" t="inlineStr">
        <is>
          <t>청장 직속 보좌기관</t>
        </is>
      </c>
      <c r="C5" s="6" t="inlineStr">
        <is>
          <t>감찰관</t>
        </is>
      </c>
      <c r="D5" s="17" t="inlineStr">
        <is>
          <t>감찰담당관</t>
        </is>
      </c>
      <c r="E5" s="16" t="inlineStr">
        <is>
          <t>3급</t>
        </is>
      </c>
      <c r="F5" s="6" t="inlineStr">
        <is>
          <t>시행규칙 §2②</t>
        </is>
      </c>
      <c r="G5" s="6" t="inlineStr">
        <is>
          <t>1. 소속 공무원의 비위 조사
2. 비위 정보수집·관리 및 진정, 내사사건 조사·처리
3. 감찰 법령·제도·정책 검토·연구·개선
4. 퇴직공직자의 취업 제한
5. 병역사항 신고 및 재산등록
6. 청장이 감찰에 관하여 지시한 사항
7. 관 내 다른 담당관 주관에 속하지 않는 사항</t>
        </is>
      </c>
      <c r="H5" s="6" t="inlineStr"/>
      <c r="I5" s="6" t="inlineStr"/>
      <c r="J5" s="6" t="inlineStr"/>
    </row>
    <row r="6">
      <c r="A6" s="16" t="inlineStr">
        <is>
          <t>본청</t>
        </is>
      </c>
      <c r="B6" s="6" t="inlineStr">
        <is>
          <t>청장 직속 보좌기관</t>
        </is>
      </c>
      <c r="C6" s="6" t="inlineStr">
        <is>
          <t>감찰관</t>
        </is>
      </c>
      <c r="D6" s="17" t="inlineStr">
        <is>
          <t>감사담당관</t>
        </is>
      </c>
      <c r="E6" s="16" t="inlineStr">
        <is>
          <t>4급</t>
        </is>
      </c>
      <c r="F6" s="6" t="inlineStr">
        <is>
          <t>시행규칙 §2③</t>
        </is>
      </c>
      <c r="G6" s="6" t="inlineStr">
        <is>
          <t>1. 사무감사·기강감사 및 사건평정
2. 감사제도 운영 및 감사계획 수립·조정
3. 청장이 감사에 관하여 지시한 사항</t>
        </is>
      </c>
      <c r="H6" s="6" t="inlineStr"/>
      <c r="I6" s="6" t="inlineStr"/>
      <c r="J6" s="6" t="inlineStr"/>
    </row>
    <row r="7">
      <c r="A7" s="16" t="inlineStr">
        <is>
          <t>본청</t>
        </is>
      </c>
      <c r="B7" s="6" t="inlineStr">
        <is>
          <t>청장 직속 보좌기관</t>
        </is>
      </c>
      <c r="C7" s="6" t="inlineStr">
        <is>
          <t>감찰관</t>
        </is>
      </c>
      <c r="D7" s="17" t="inlineStr">
        <is>
          <t>인권·양성평등담당관</t>
        </is>
      </c>
      <c r="E7" s="16" t="inlineStr">
        <is>
          <t>4급</t>
        </is>
      </c>
      <c r="F7" s="6" t="inlineStr">
        <is>
          <t>시행규칙 §2④</t>
        </is>
      </c>
      <c r="G7" s="6" t="inlineStr">
        <is>
          <t>1. 인권업무 기획·법령·제도·정책 총괄·검토·연구·개선
2. 인권침해 예방·감독 및 사건 처리
3. 범죄피해자 보호·지원
4. 양성평등 정책 및 성희롱·성폭력 예방
5. 양성평등 침해 및 성희롱·성폭력 사건 처리
6. 인권·양성평등 유관기관 교류·협력
7. 법 §44 수사심의 제도 수립·운영
8. 법 §47 손실보상 제도 수립·운영</t>
        </is>
      </c>
      <c r="H7" s="6" t="inlineStr"/>
      <c r="I7" s="6" t="inlineStr"/>
      <c r="J7" s="6" t="inlineStr"/>
    </row>
    <row r="8">
      <c r="A8" s="16" t="inlineStr">
        <is>
          <t>본청</t>
        </is>
      </c>
      <c r="B8" s="6" t="inlineStr">
        <is>
          <t>청장 직속 보좌기관</t>
        </is>
      </c>
      <c r="C8" s="6" t="inlineStr"/>
      <c r="D8" s="17" t="inlineStr">
        <is>
          <t>대변인</t>
        </is>
      </c>
      <c r="E8" s="16" t="inlineStr">
        <is>
          <t>2급</t>
        </is>
      </c>
      <c r="F8" s="6" t="inlineStr">
        <is>
          <t>직제 §8</t>
        </is>
      </c>
      <c r="G8" s="6" t="inlineStr">
        <is>
          <t>1. 주요정책 대국민 홍보 계획 수립·조정 및 협의·지원
2. 청 내 업무의 대외 정책 발표
3. 보도자료 관리·분석, 오보·왜곡보도 대응
4. 언론취재 지원 및 협조
5. 온라인대변인 지정·운영 등 소셜 미디어 정책소통 총괄</t>
        </is>
      </c>
      <c r="H8" s="6" t="inlineStr"/>
      <c r="I8" s="6" t="inlineStr">
        <is>
          <t>공보담당관: 전문경력관 나급(1)</t>
        </is>
      </c>
      <c r="J8" s="6" t="inlineStr"/>
    </row>
    <row r="9">
      <c r="A9" s="16" t="inlineStr">
        <is>
          <t>본청</t>
        </is>
      </c>
      <c r="B9" s="6" t="inlineStr">
        <is>
          <t>청장 직속 보좌기관</t>
        </is>
      </c>
      <c r="C9" s="6" t="inlineStr">
        <is>
          <t>대변인</t>
        </is>
      </c>
      <c r="D9" s="17" t="inlineStr">
        <is>
          <t>공보담당관</t>
        </is>
      </c>
      <c r="E9" s="16" t="inlineStr">
        <is>
          <t>4급</t>
        </is>
      </c>
      <c r="F9" s="6" t="inlineStr">
        <is>
          <t>시행규칙 §3</t>
        </is>
      </c>
      <c r="G9" s="6" t="inlineStr">
        <is>
          <t>1. 주요정책 대국민 홍보 계획 수립·조정 및 협의·지원
2. 청 내 업무의 대외 정책 발표
3. 보도자료 관리·분석, 오보·왜곡보도 대응
4. 언론취재 지원 및 협조
5. 중수청 업무 관련 각종 상황관리 및 공보사무</t>
        </is>
      </c>
      <c r="H9" s="6" t="inlineStr"/>
      <c r="I9" s="6" t="inlineStr"/>
      <c r="J9" s="6" t="inlineStr"/>
    </row>
    <row r="10">
      <c r="A10" s="16" t="inlineStr">
        <is>
          <t>본청</t>
        </is>
      </c>
      <c r="B10" s="6" t="inlineStr">
        <is>
          <t>차장 보좌기관</t>
        </is>
      </c>
      <c r="C10" s="6" t="inlineStr"/>
      <c r="D10" s="17" t="inlineStr">
        <is>
          <t>기획조정관</t>
        </is>
      </c>
      <c r="E10" s="16" t="inlineStr">
        <is>
          <t>2급</t>
        </is>
      </c>
      <c r="F10" s="6" t="inlineStr">
        <is>
          <t>직제 §9</t>
        </is>
      </c>
      <c r="G10" s="6" t="inlineStr">
        <is>
          <t>1. 주요정책·업무계획 수립·총괄·조정
2. 대국회 업무 총괄·조정
3. 예산 편성·집행·조정
4. 정부업무평가 및 성과관리
5. 행정개선 총괄
6. 국정과제 발굴·점검
7. 행정심판·소송·민원·국민신문고·정보공개
8. 국제협력 정책 및 국제수사공조
9. 정보화계획, 정보보안·개인정보보호
10. 형사사법정보시스템(KICS) 운영·관리
11. 비상대비, 정부비상훈련·직장예비군, 재난·위기 연계체계</t>
        </is>
      </c>
      <c r="H10" s="6" t="inlineStr"/>
      <c r="I10" s="6" t="inlineStr">
        <is>
          <t>정보통신담당관: 전산·방송통신 5급(2)·6급(4)·7급(4)·8급(2)·9급(1) / 비상안전담당관실: 방호 8급(3)·9급(4)</t>
        </is>
      </c>
      <c r="J10" s="6" t="inlineStr"/>
    </row>
    <row r="11">
      <c r="A11" s="16" t="inlineStr">
        <is>
          <t>본청</t>
        </is>
      </c>
      <c r="B11" s="6" t="inlineStr">
        <is>
          <t>차장 보좌기관</t>
        </is>
      </c>
      <c r="C11" s="6" t="inlineStr">
        <is>
          <t>기획조정관</t>
        </is>
      </c>
      <c r="D11" s="17" t="inlineStr">
        <is>
          <t>기획재정담당관</t>
        </is>
      </c>
      <c r="E11" s="16" t="inlineStr">
        <is>
          <t>3급</t>
        </is>
      </c>
      <c r="F11" s="6" t="inlineStr">
        <is>
          <t>시행규칙 §4②</t>
        </is>
      </c>
      <c r="G11" s="6" t="inlineStr">
        <is>
          <t>1. 주요정책·업무계획 수립·종합·조정
2. 주요사업 진행 파악 및 심사평가
3. 대국회 업무 총괄·조정
4. 성과관리 기본계획·전략계획·시행계획 수립
5. 행정개선 총괄 및 지원
6. 정부업무평가 총괄·조정
7. 국정과제 발굴·선정·점검
8. 소관 법령 및 행정규칙 총괄·조정
9. 예산 편성·결산 총괄 및 집행 조정
10. 민원, 국민신문고 및 정보공개
11. 행정심판 및 소송사무
12. 관 내 다른 담당관 주관에 속하지 않는 사항</t>
        </is>
      </c>
      <c r="H11" s="6" t="inlineStr"/>
      <c r="I11" s="6" t="inlineStr"/>
      <c r="J11" s="6" t="inlineStr"/>
    </row>
    <row r="12">
      <c r="A12" s="16" t="inlineStr">
        <is>
          <t>본청</t>
        </is>
      </c>
      <c r="B12" s="6" t="inlineStr">
        <is>
          <t>차장 보좌기관</t>
        </is>
      </c>
      <c r="C12" s="6" t="inlineStr">
        <is>
          <t>기획조정관</t>
        </is>
      </c>
      <c r="D12" s="17" t="inlineStr">
        <is>
          <t>국제협력담당관</t>
        </is>
      </c>
      <c r="E12" s="16" t="inlineStr">
        <is>
          <t>4급</t>
        </is>
      </c>
      <c r="F12" s="6" t="inlineStr">
        <is>
          <t>시행규칙 §4③</t>
        </is>
      </c>
      <c r="G12" s="6" t="inlineStr">
        <is>
          <t>1. 국제협력 정책 수립·총괄·조정
2. 국제수사공조 등 국제협력 업무
3. 중대범죄등 수사 관련 외국기관·국제기구 협력 및 국제회의
4. 국제형사사법 정보·자료의 조사·수집·연구·간행
5. 그 밖의 수사 분야 국제협력</t>
        </is>
      </c>
      <c r="H12" s="6" t="inlineStr"/>
      <c r="I12" s="6" t="inlineStr"/>
      <c r="J12" s="6" t="inlineStr"/>
    </row>
    <row r="13">
      <c r="A13" s="16" t="inlineStr">
        <is>
          <t>본청</t>
        </is>
      </c>
      <c r="B13" s="6" t="inlineStr">
        <is>
          <t>차장 보좌기관</t>
        </is>
      </c>
      <c r="C13" s="6" t="inlineStr">
        <is>
          <t>기획조정관</t>
        </is>
      </c>
      <c r="D13" s="17" t="inlineStr">
        <is>
          <t>정보통신담당관</t>
        </is>
      </c>
      <c r="E13" s="16" t="inlineStr">
        <is>
          <t>4급</t>
        </is>
      </c>
      <c r="F13" s="6" t="inlineStr">
        <is>
          <t>시행규칙 §4④</t>
        </is>
      </c>
      <c r="G13" s="6" t="inlineStr">
        <is>
          <t>1. 정보화계획 수립·추진
2. 전산업무 개발·운영
3. 통신 및 보안
4. 개인정보보호
5. 전산장비·자료 및 통신기기 운영·관리
6. 형사사법정보시스템(KICS) 운영·관리
7. 공공데이터 제공 및 이용 활성화
8. 데이터기반행정 활성화
9. 그 밖의 정보화</t>
        </is>
      </c>
      <c r="H13" s="6" t="inlineStr"/>
      <c r="I13" s="6" t="inlineStr"/>
      <c r="J13" s="6" t="inlineStr"/>
    </row>
    <row r="14">
      <c r="A14" s="16" t="inlineStr">
        <is>
          <t>본청</t>
        </is>
      </c>
      <c r="B14" s="6" t="inlineStr">
        <is>
          <t>차장 보좌기관</t>
        </is>
      </c>
      <c r="C14" s="6" t="inlineStr">
        <is>
          <t>기획조정관</t>
        </is>
      </c>
      <c r="D14" s="17" t="inlineStr">
        <is>
          <t>비상안전담당관</t>
        </is>
      </c>
      <c r="E14" s="16" t="inlineStr">
        <is>
          <t>임기제 4급</t>
        </is>
      </c>
      <c r="F14" s="6" t="inlineStr">
        <is>
          <t>시행규칙 §4⑤ · §38②</t>
        </is>
      </c>
      <c r="G14" s="6" t="inlineStr">
        <is>
          <t>1. 국가비상사태 대비 제반계획 수립 및 훈련 총괄
2. 정부비상훈련, 직장예비군 및 민방위대 관리
3. 안전관리·재난·위기상황 관리기관과의 연계체계 구축·운영</t>
        </is>
      </c>
      <c r="H14" s="6" t="inlineStr"/>
      <c r="I14" s="6" t="inlineStr"/>
      <c r="J14" s="6" t="inlineStr">
        <is>
          <t>비상안전담당관은 「비상대비에 관한 법률」 §12의2에 따라 추후 모집 예정(공고 별첨1).</t>
        </is>
      </c>
    </row>
    <row r="15">
      <c r="A15" s="16" t="inlineStr">
        <is>
          <t>본청</t>
        </is>
      </c>
      <c r="B15" s="6" t="inlineStr">
        <is>
          <t>차장 보좌기관</t>
        </is>
      </c>
      <c r="C15" s="6" t="inlineStr"/>
      <c r="D15" s="17" t="inlineStr">
        <is>
          <t>인사정책기획관</t>
        </is>
      </c>
      <c r="E15" s="16" t="inlineStr">
        <is>
          <t>2급</t>
        </is>
      </c>
      <c r="F15" s="6" t="inlineStr">
        <is>
          <t>직제 §10</t>
        </is>
      </c>
      <c r="G15" s="6" t="inlineStr">
        <is>
          <t>1. 소속 공무원 인사계획 수립 및 인사 운영
2. 채용·승진·전보 등 임용
3. 교육, 상훈, 징계, 근무평정, 성과상여금
4. 조직진단·평가를 통한 조직·정원 관리
5. 수사정책 기획·조정
6. 수사업무 법령·제도·정책 연구·관리
7. 수사·조사 지원
8. 수사업무 유관기관 교류·협력</t>
        </is>
      </c>
      <c r="H15" s="6" t="inlineStr"/>
      <c r="I15" s="6" t="inlineStr">
        <is>
          <t>인사담당관: 전산·방송통신 7급(1)·8급(2)</t>
        </is>
      </c>
      <c r="J15" s="6" t="inlineStr"/>
    </row>
    <row r="16">
      <c r="A16" s="16" t="inlineStr">
        <is>
          <t>본청</t>
        </is>
      </c>
      <c r="B16" s="6" t="inlineStr">
        <is>
          <t>차장 보좌기관</t>
        </is>
      </c>
      <c r="C16" s="6" t="inlineStr">
        <is>
          <t>인사정책기획관</t>
        </is>
      </c>
      <c r="D16" s="17" t="inlineStr">
        <is>
          <t>인사담당관</t>
        </is>
      </c>
      <c r="E16" s="16" t="inlineStr">
        <is>
          <t>3급</t>
        </is>
      </c>
      <c r="F16" s="6" t="inlineStr">
        <is>
          <t>시행규칙 §5②</t>
        </is>
      </c>
      <c r="G16" s="6" t="inlineStr">
        <is>
          <t>1. 소속 공무원 인사계획 수립 및 인사 운영
2. 채용·승진·전보 등 임용
3. 상훈, 징계, 근무평정 및 성과상여금
4. 조직진단·평가를 통한 조직·정원 관리
5. 교육훈련 계획 수립·운영 및 제도개선
6. 인사 제도 및 통계 관리 등 인사 사무
7. 관 내 다른 담당관 주관에 속하지 않는 사항</t>
        </is>
      </c>
      <c r="H16" s="6" t="inlineStr"/>
      <c r="I16" s="6" t="inlineStr"/>
      <c r="J16" s="6" t="inlineStr"/>
    </row>
    <row r="17">
      <c r="A17" s="16" t="inlineStr">
        <is>
          <t>본청</t>
        </is>
      </c>
      <c r="B17" s="6" t="inlineStr">
        <is>
          <t>차장 보좌기관</t>
        </is>
      </c>
      <c r="C17" s="6" t="inlineStr">
        <is>
          <t>인사정책기획관</t>
        </is>
      </c>
      <c r="D17" s="17" t="inlineStr">
        <is>
          <t>수사정책담당관</t>
        </is>
      </c>
      <c r="E17" s="16" t="inlineStr">
        <is>
          <t>3급</t>
        </is>
      </c>
      <c r="F17" s="6" t="inlineStr">
        <is>
          <t>시행규칙 §5③</t>
        </is>
      </c>
      <c r="G17" s="6" t="inlineStr">
        <is>
          <t>1. 수사정책 기획 및 조정
2. 수사업무 관련 법령·제도·정책 연구 및 관리
3. 중대범죄등 수사업무에 대한 수사·조사 지원
4. 수사업무 유관기관 교류·협력
5. 수사정책 관련 제도·정책 연구 및 운영</t>
        </is>
      </c>
      <c r="H17" s="6" t="inlineStr"/>
      <c r="I17" s="6" t="inlineStr"/>
      <c r="J17" s="6" t="inlineStr"/>
    </row>
    <row r="18">
      <c r="A18" s="16" t="inlineStr">
        <is>
          <t>본청</t>
        </is>
      </c>
      <c r="B18" s="6" t="inlineStr">
        <is>
          <t>차장 보좌기관</t>
        </is>
      </c>
      <c r="C18" s="6" t="inlineStr"/>
      <c r="D18" s="17" t="inlineStr">
        <is>
          <t>수사정보관</t>
        </is>
      </c>
      <c r="E18" s="16" t="inlineStr">
        <is>
          <t>2급</t>
        </is>
      </c>
      <c r="F18" s="6" t="inlineStr">
        <is>
          <t>직제 §11</t>
        </is>
      </c>
      <c r="G18" s="6" t="inlineStr">
        <is>
          <t>1. 중수청 직무 관련 정보·자료의 수집·분석·검증·평가·관리
2. 지방청이 수집한 중대범죄등 정보·자료의 분석·검증·평가·관리
3. 다른 기관에서 이첩된 정보·자료의 분석·검증·평가·관리
4. 중대범죄등 정보 관련 기획·조정·지원·지휘·감독 및 교육</t>
        </is>
      </c>
      <c r="H18" s="6" t="inlineStr"/>
      <c r="I18" s="6" t="inlineStr"/>
      <c r="J18" s="6" t="inlineStr"/>
    </row>
    <row r="19">
      <c r="A19" s="16" t="inlineStr">
        <is>
          <t>본청</t>
        </is>
      </c>
      <c r="B19" s="6" t="inlineStr">
        <is>
          <t>차장 보좌기관</t>
        </is>
      </c>
      <c r="C19" s="6" t="inlineStr">
        <is>
          <t>수사정보관</t>
        </is>
      </c>
      <c r="D19" s="17" t="inlineStr">
        <is>
          <t>수사정보1담당관</t>
        </is>
      </c>
      <c r="E19" s="16" t="inlineStr">
        <is>
          <t>3급</t>
        </is>
      </c>
      <c r="F19" s="6" t="inlineStr">
        <is>
          <t>시행규칙 §6②</t>
        </is>
      </c>
      <c r="G19" s="6" t="inlineStr">
        <is>
          <t>1. 중수청 직무 범죄 관련 정보·자료의 분석·검증·평가·관리
2. 지방청 수집 정보·자료의 분석·검증·평가·관리
3. 다른 기관 이첩 정보·자료의 분석·검증·평가·관리
4. 그 밖의 중요 정보·자료의 분석·검증·평가·관리
5. 중대범죄등 정보 사무의 기획·조정·지원·지휘·감독 및 교육
6. 관 내 다른 담당관 주관에 속하지 않는 사항</t>
        </is>
      </c>
      <c r="H19" s="6" t="inlineStr"/>
      <c r="I19" s="6" t="inlineStr"/>
      <c r="J19" s="6" t="inlineStr"/>
    </row>
    <row r="20">
      <c r="A20" s="16" t="inlineStr">
        <is>
          <t>본청</t>
        </is>
      </c>
      <c r="B20" s="6" t="inlineStr">
        <is>
          <t>차장 보좌기관</t>
        </is>
      </c>
      <c r="C20" s="6" t="inlineStr">
        <is>
          <t>수사정보관</t>
        </is>
      </c>
      <c r="D20" s="17" t="inlineStr">
        <is>
          <t>수사정보2담당관</t>
        </is>
      </c>
      <c r="E20" s="16" t="inlineStr">
        <is>
          <t>4급</t>
        </is>
      </c>
      <c r="F20" s="6" t="inlineStr">
        <is>
          <t>시행규칙 §6③</t>
        </is>
      </c>
      <c r="G20" s="6" t="inlineStr">
        <is>
          <t>1. 중수청 직무 범죄 관련 정보·자료의 수집 및 관리
2. 그 밖의 중요 정보·자료의 수집 및 관리</t>
        </is>
      </c>
      <c r="H20" s="6" t="inlineStr"/>
      <c r="I20" s="6" t="inlineStr"/>
      <c r="J20" s="6" t="inlineStr"/>
    </row>
    <row r="21">
      <c r="A21" s="16" t="inlineStr">
        <is>
          <t>본청</t>
        </is>
      </c>
      <c r="B21" s="6" t="inlineStr">
        <is>
          <t>수사 부서 (지방청 지휘·감독)</t>
        </is>
      </c>
      <c r="C21" s="6" t="inlineStr"/>
      <c r="D21" s="17" t="inlineStr">
        <is>
          <t>경제범죄수사국</t>
        </is>
      </c>
      <c r="E21" s="16" t="inlineStr">
        <is>
          <t>2급</t>
        </is>
      </c>
      <c r="F21" s="6" t="inlineStr">
        <is>
          <t>직제 §13</t>
        </is>
      </c>
      <c r="G21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</t>
        </is>
      </c>
      <c r="H21" s="6" t="inlineStr">
        <is>
          <t>- 경제·금융·공정거래·기업·조세·가상자산·보이스피싱·재산국외도피·범죄수익은닉범죄사건 및 청장이 명하는 관련 사건
- 범죄수익추적·환수 지원</t>
        </is>
      </c>
      <c r="I21" s="6" t="inlineStr"/>
      <c r="J21" s="6" t="inlineStr"/>
    </row>
    <row r="22">
      <c r="A22" s="16" t="inlineStr">
        <is>
          <t>본청</t>
        </is>
      </c>
      <c r="B22" s="6" t="inlineStr">
        <is>
          <t>수사 부서 (지방청 지휘·감독)</t>
        </is>
      </c>
      <c r="C22" s="6" t="inlineStr">
        <is>
          <t>경제범죄수사국</t>
        </is>
      </c>
      <c r="D22" s="17" t="inlineStr">
        <is>
          <t>경제범죄수사과</t>
        </is>
      </c>
      <c r="E22" s="16" t="inlineStr">
        <is>
          <t>3급</t>
        </is>
      </c>
      <c r="F22" s="6" t="inlineStr">
        <is>
          <t>시행규칙 §7②</t>
        </is>
      </c>
      <c r="G22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
7. 그 밖에 국 내 다른 과의 주관에 속하지 않는 사항</t>
        </is>
      </c>
      <c r="H22" s="6" t="inlineStr">
        <is>
          <t>- 「형법」 제2편 제39장(사기·공갈)·제40장(횡령·배임)의 범죄
- 「특정범죄 가중처벌 등에 관한 법률」 제6조·제8조·제8조의2
- 「특정경제범죄 가중처벌 등에 관한 법률」 제3조, 제5조~제9조
- 「전기통신금융사기 피해 방지 및 피해자산 환급에 관한 특별법」·「전자금융거래법」 위반
- 「형법」 제114조의 범죄
- 법 제2조제2호나목 사건 중 경제·조세·보이스피싱범죄</t>
        </is>
      </c>
      <c r="I22" s="6" t="inlineStr"/>
      <c r="J22" s="6" t="inlineStr"/>
    </row>
    <row r="23">
      <c r="A23" s="16" t="inlineStr">
        <is>
          <t>본청</t>
        </is>
      </c>
      <c r="B23" s="6" t="inlineStr">
        <is>
          <t>수사 부서 (지방청 지휘·감독)</t>
        </is>
      </c>
      <c r="C23" s="6" t="inlineStr">
        <is>
          <t>경제범죄수사국</t>
        </is>
      </c>
      <c r="D23" s="17" t="inlineStr">
        <is>
          <t>금융범죄수사과</t>
        </is>
      </c>
      <c r="E23" s="16" t="inlineStr">
        <is>
          <t>4급</t>
        </is>
      </c>
      <c r="F23" s="6" t="inlineStr">
        <is>
          <t>시행규칙 §7③</t>
        </is>
      </c>
      <c r="G23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</t>
        </is>
      </c>
      <c r="H23" s="6" t="inlineStr">
        <is>
          <t>- 「자본시장과 금융투자업에 관한 법률」 위반
- 「가상자산 이용자 보호 등에 관한 법률」 위반
- 법 제2조제2호나목 사건 중 금융·가상자산범죄</t>
        </is>
      </c>
      <c r="I23" s="6" t="inlineStr"/>
      <c r="J23" s="6" t="inlineStr"/>
    </row>
    <row r="24">
      <c r="A24" s="16" t="inlineStr">
        <is>
          <t>본청</t>
        </is>
      </c>
      <c r="B24" s="6" t="inlineStr">
        <is>
          <t>수사 부서 (지방청 지휘·감독)</t>
        </is>
      </c>
      <c r="C24" s="6" t="inlineStr">
        <is>
          <t>경제범죄수사국</t>
        </is>
      </c>
      <c r="D24" s="17" t="inlineStr">
        <is>
          <t>반독점수사과</t>
        </is>
      </c>
      <c r="E24" s="16" t="inlineStr">
        <is>
          <t>4급</t>
        </is>
      </c>
      <c r="F24" s="6" t="inlineStr">
        <is>
          <t>시행규칙 §7④</t>
        </is>
      </c>
      <c r="G24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</t>
        </is>
      </c>
      <c r="H24" s="6" t="inlineStr">
        <is>
          <t>- 「독점규제 및 공정거래에 관한 법률」 제124조·제125조
- 법 제2조제2호나목 사건 중 공정거래·기업범죄</t>
        </is>
      </c>
      <c r="I24" s="6" t="inlineStr"/>
      <c r="J24" s="6" t="inlineStr"/>
    </row>
    <row r="25">
      <c r="A25" s="16" t="inlineStr">
        <is>
          <t>본청</t>
        </is>
      </c>
      <c r="B25" s="6" t="inlineStr">
        <is>
          <t>수사 부서 (지방청 지휘·감독)</t>
        </is>
      </c>
      <c r="C25" s="6" t="inlineStr">
        <is>
          <t>경제범죄수사국</t>
        </is>
      </c>
      <c r="D25" s="17" t="inlineStr">
        <is>
          <t>범죄수익수사과</t>
        </is>
      </c>
      <c r="E25" s="16" t="inlineStr">
        <is>
          <t>4급</t>
        </is>
      </c>
      <c r="F25" s="6" t="inlineStr">
        <is>
          <t>시행규칙 §7⑤</t>
        </is>
      </c>
      <c r="G25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</t>
        </is>
      </c>
      <c r="H25" s="6" t="inlineStr">
        <is>
          <t>- 「특정경제범죄 가중처벌 등에 관한 법률」 제4조(재산국외도피)
- 법 제2조제1호바목(범죄수익은닉규제법 제3조·제4조) 범죄
- 법 제2조제2호나목 사건 중 재산국외도피·범죄수익은닉범죄
- 범죄수익의 추적 및 환수 지원</t>
        </is>
      </c>
      <c r="I25" s="6" t="inlineStr"/>
      <c r="J25" s="6" t="inlineStr"/>
    </row>
    <row r="26">
      <c r="A26" s="16" t="inlineStr">
        <is>
          <t>본청</t>
        </is>
      </c>
      <c r="B26" s="6" t="inlineStr">
        <is>
          <t>수사 부서 (지방청 지휘·감독)</t>
        </is>
      </c>
      <c r="C26" s="6" t="inlineStr"/>
      <c r="D26" s="17" t="inlineStr">
        <is>
          <t>반부패수사국</t>
        </is>
      </c>
      <c r="E26" s="16" t="inlineStr">
        <is>
          <t>2급</t>
        </is>
      </c>
      <c r="F26" s="6" t="inlineStr">
        <is>
          <t>직제 §14</t>
        </is>
      </c>
      <c r="G26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</t>
        </is>
      </c>
      <c r="H26" s="6" t="inlineStr">
        <is>
          <t>- 부패범죄, 공소청·공수처·법원·경찰 등 공무원 범죄, 마약류·공공안전·정치자금·방위사업·군사기밀범죄사건
- 「형사소송법」 §197의2⑧ 보완수사 요구 사건, §245의8⑨ 재수사 요구 사건
- 자금추적·회계분석 지원</t>
        </is>
      </c>
      <c r="I26" s="6" t="inlineStr"/>
      <c r="J26" s="6" t="inlineStr"/>
    </row>
    <row r="27">
      <c r="A27" s="16" t="inlineStr">
        <is>
          <t>본청</t>
        </is>
      </c>
      <c r="B27" s="6" t="inlineStr">
        <is>
          <t>수사 부서 (지방청 지휘·감독)</t>
        </is>
      </c>
      <c r="C27" s="6" t="inlineStr">
        <is>
          <t>반부패수사국</t>
        </is>
      </c>
      <c r="D27" s="17" t="inlineStr">
        <is>
          <t>반부패수사과</t>
        </is>
      </c>
      <c r="E27" s="16" t="inlineStr">
        <is>
          <t>3급</t>
        </is>
      </c>
      <c r="F27" s="6" t="inlineStr">
        <is>
          <t>시행규칙 §8②</t>
        </is>
      </c>
      <c r="G27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
7. 그 밖에 국 내 다른 과의 주관에 속하지 않는 사항</t>
        </is>
      </c>
      <c r="H27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</t>
        </is>
      </c>
      <c r="I27" s="6" t="inlineStr"/>
      <c r="J27" s="6" t="inlineStr"/>
    </row>
    <row r="28">
      <c r="A28" s="16" t="inlineStr">
        <is>
          <t>본청</t>
        </is>
      </c>
      <c r="B28" s="6" t="inlineStr">
        <is>
          <t>수사 부서 (지방청 지휘·감독)</t>
        </is>
      </c>
      <c r="C28" s="6" t="inlineStr">
        <is>
          <t>반부패수사국</t>
        </is>
      </c>
      <c r="D28" s="17" t="inlineStr">
        <is>
          <t>마약수사과</t>
        </is>
      </c>
      <c r="E28" s="16" t="inlineStr">
        <is>
          <t>4급</t>
        </is>
      </c>
      <c r="F28" s="6" t="inlineStr">
        <is>
          <t>시행규칙 §8③</t>
        </is>
      </c>
      <c r="G28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</t>
        </is>
      </c>
      <c r="H28" s="6" t="inlineStr">
        <is>
          <t>- 「마약류 관리에 관한 법률」 위반
- 「특정범죄 가중처벌 등에 관한 법률」 제11조
- 법 제2조제2호나목 사건 중 마약류 범죄</t>
        </is>
      </c>
      <c r="I28" s="6" t="inlineStr"/>
      <c r="J28" s="6" t="inlineStr"/>
    </row>
    <row r="29">
      <c r="A29" s="16" t="inlineStr">
        <is>
          <t>본청</t>
        </is>
      </c>
      <c r="B29" s="6" t="inlineStr">
        <is>
          <t>수사 부서 (지방청 지휘·감독)</t>
        </is>
      </c>
      <c r="C29" s="6" t="inlineStr">
        <is>
          <t>반부패수사국</t>
        </is>
      </c>
      <c r="D29" s="17" t="inlineStr">
        <is>
          <t>공공사회안전수사과</t>
        </is>
      </c>
      <c r="E29" s="16" t="inlineStr">
        <is>
          <t>4급</t>
        </is>
      </c>
      <c r="F29" s="6" t="inlineStr">
        <is>
          <t>시행규칙 §8④</t>
        </is>
      </c>
      <c r="G29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</t>
        </is>
      </c>
      <c r="H29" s="6" t="inlineStr">
        <is>
          <t>- 「형법」 제2편 제1장(내란)·제2장(외환)의 죄, 제128조
- 「정치자금법」 제45조
- 「국가정보원법」 제21조·제22조
- 「국회에서의 증언·감정 등에 관한 법률」 제14조제1항
- 「방위산업기술 보호법」·「군사기밀 보호법」 위반
- 「형사소송법」 제197조의2제8항 보완수사 요구 사건
- 「형사소송법」 제245조의8제9항 재수사 요구 사건
- 법 제2조제2호나목 사건 중 공공안전·정치자금·방산·군사기밀·국회위증 범죄</t>
        </is>
      </c>
      <c r="I29" s="6" t="inlineStr">
        <is>
          <t>심리연구사(2)</t>
        </is>
      </c>
      <c r="J29" s="6" t="inlineStr"/>
    </row>
    <row r="30">
      <c r="A30" s="16" t="inlineStr">
        <is>
          <t>본청</t>
        </is>
      </c>
      <c r="B30" s="6" t="inlineStr">
        <is>
          <t>수사 부서 (지방청 지휘·감독)</t>
        </is>
      </c>
      <c r="C30" s="6" t="inlineStr">
        <is>
          <t>반부패수사국</t>
        </is>
      </c>
      <c r="D30" s="17" t="inlineStr">
        <is>
          <t>자금추적·회계분석과</t>
        </is>
      </c>
      <c r="E30" s="16" t="inlineStr">
        <is>
          <t>4급</t>
        </is>
      </c>
      <c r="F30" s="6" t="inlineStr">
        <is>
          <t>시행규칙 §8⑤</t>
        </is>
      </c>
      <c r="G30" s="6" t="inlineStr">
        <is>
          <t>1. 자금추적·회계분석 지원 및 그 사무에 관한 지방청 사무의 지휘·감독
2. 지방청 사무의 보고 및 관련 정보 보고
3. 진정·내사·탄원 등의 접수·처리
4. 정보 수집·분석·관리·연구, 정책·수사지침 수립
5. 기법 개발·지원 및 교육, 통계·기록물 관리
6. 관련 기관 협조
7. 수사장비 확보·개발 및 운영</t>
        </is>
      </c>
      <c r="H30" s="6" t="inlineStr">
        <is>
          <t>- 중대범죄수사청장이 명하는 사건의 자금추적·회계분석 지원</t>
        </is>
      </c>
      <c r="I30" s="6" t="inlineStr"/>
      <c r="J30" s="6" t="inlineStr"/>
    </row>
    <row r="31">
      <c r="A31" s="16" t="inlineStr">
        <is>
          <t>본청</t>
        </is>
      </c>
      <c r="B31" s="6" t="inlineStr">
        <is>
          <t>수사 부서 (지방청 지휘·감독)</t>
        </is>
      </c>
      <c r="C31" s="6" t="inlineStr"/>
      <c r="D31" s="17" t="inlineStr">
        <is>
          <t>과학수사국</t>
        </is>
      </c>
      <c r="E31" s="16" t="inlineStr">
        <is>
          <t>2급</t>
        </is>
      </c>
      <c r="F31" s="6" t="inlineStr">
        <is>
          <t>직제 §15</t>
        </is>
      </c>
      <c r="G31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</t>
        </is>
      </c>
      <c r="H31" s="6" t="inlineStr">
        <is>
          <t>- 사이버·산업기술범죄사건 및 청장이 명하는 관련 사건
- 전자적 증거·AI가상자산 분석·지원</t>
        </is>
      </c>
      <c r="I31" s="6" t="inlineStr"/>
      <c r="J31" s="6" t="inlineStr"/>
    </row>
    <row r="32">
      <c r="A32" s="16" t="inlineStr">
        <is>
          <t>본청</t>
        </is>
      </c>
      <c r="B32" s="6" t="inlineStr">
        <is>
          <t>수사 부서 (지방청 지휘·감독)</t>
        </is>
      </c>
      <c r="C32" s="6" t="inlineStr">
        <is>
          <t>과학수사국</t>
        </is>
      </c>
      <c r="D32" s="17" t="inlineStr">
        <is>
          <t>사이버기술수사과</t>
        </is>
      </c>
      <c r="E32" s="16" t="inlineStr">
        <is>
          <t>3급</t>
        </is>
      </c>
      <c r="F32" s="6" t="inlineStr">
        <is>
          <t>시행규칙 §9②</t>
        </is>
      </c>
      <c r="G32" s="6" t="inlineStr">
        <is>
          <t>1. 아래 사건 및 이와 직접 관련이 있어 중대범죄수사청장이 명하는 사건에 관한 지방청 사무의 지휘·감독
2. 지방청 사무의 보고 및 관련 정보의 보고
3. 진정·내사·탄원 등의 접수·처리
4. 범죄 현상·정보의 수집·분석·관리·연구, 정책·수사지침 수립
5. 수사기법 개발·지원 및 교육, 통계·기록물 관리
6. 관련 기관 협조
7. 수사지원을 위한 국제수사공조 등 이행·지원
8. 수사장비 확보·개발 및 운영
9. 과학수사업무 기획·종합계획 수립 및 과학수사 행정
10. 관련 지도·교육
11. 그 밖에 국 내 다른 과의 주관에 속하지 않는 사항</t>
        </is>
      </c>
      <c r="H32" s="6" t="inlineStr">
        <is>
          <t>- 「산업기술의 유출방지 및 보호에 관한 법률」 제36조~제38조, 「부정경쟁방지 및 영업비밀보호에 관한 법률」 제18조~제18조의4
- 정보통신망법 제71조제1항제11호~제14호·제2항, 형법 제356조, 특경법 제3조 중 기술유출 등 국가핵심기반 공격 사이버범죄
- 법 제2조제2호나목 사건 중 사이버·산업기술범죄</t>
        </is>
      </c>
      <c r="I32" s="6" t="inlineStr">
        <is>
          <t>전산·방송통신 5급(1)·6급(1)·7급(4)·9급(1)</t>
        </is>
      </c>
      <c r="J32" s="6" t="inlineStr"/>
    </row>
    <row r="33">
      <c r="A33" s="16" t="inlineStr">
        <is>
          <t>본청</t>
        </is>
      </c>
      <c r="B33" s="6" t="inlineStr">
        <is>
          <t>수사 부서 (지방청 지휘·감독)</t>
        </is>
      </c>
      <c r="C33" s="6" t="inlineStr">
        <is>
          <t>과학수사국</t>
        </is>
      </c>
      <c r="D33" s="17" t="inlineStr">
        <is>
          <t>디지털수사과</t>
        </is>
      </c>
      <c r="E33" s="16" t="inlineStr">
        <is>
          <t>4급</t>
        </is>
      </c>
      <c r="F33" s="6" t="inlineStr">
        <is>
          <t>시행규칙 §9③</t>
        </is>
      </c>
      <c r="G33" s="6" t="inlineStr">
        <is>
          <t>1. 전자적 증거의 분석
2. 전자적 증거 분석기법 연구·개발
3. 전자적 과학수사기법 연구·개발
4. 디지털수사 유관기관 협조
5. 디지털수사 장비 확보·개발·운영
6. 관련 지도·교육</t>
        </is>
      </c>
      <c r="H33" s="6" t="inlineStr"/>
      <c r="I33" s="6" t="inlineStr">
        <is>
          <t>전산·방송통신 5급(1)·6급(1)·8급(2)</t>
        </is>
      </c>
      <c r="J33" s="6" t="inlineStr"/>
    </row>
    <row r="34">
      <c r="A34" s="16" t="inlineStr">
        <is>
          <t>본청</t>
        </is>
      </c>
      <c r="B34" s="6" t="inlineStr">
        <is>
          <t>수사 부서 (지방청 지휘·감독)</t>
        </is>
      </c>
      <c r="C34" s="6" t="inlineStr">
        <is>
          <t>과학수사국</t>
        </is>
      </c>
      <c r="D34" s="17" t="inlineStr">
        <is>
          <t>AI가상자산분석과</t>
        </is>
      </c>
      <c r="E34" s="16" t="inlineStr">
        <is>
          <t>4급</t>
        </is>
      </c>
      <c r="F34" s="6" t="inlineStr">
        <is>
          <t>시행규칙 §9④</t>
        </is>
      </c>
      <c r="G34" s="6" t="inlineStr">
        <is>
          <t>1. AI 활용 범죄 및 가상자산 추적·분석
2. AI 활용 범죄 및 수사기법 연구·개발
3. 가상자산 추적·분석기법 연구·개발
4. 관련 기관 협조
5. AI가상자산분석 장비 확보·개발·운영
6. 관련 지도·교육</t>
        </is>
      </c>
      <c r="H34" s="6" t="inlineStr"/>
      <c r="I34" s="6" t="inlineStr"/>
      <c r="J34" s="6" t="inlineStr"/>
    </row>
    <row r="35">
      <c r="A35" s="16" t="inlineStr">
        <is>
          <t>본청</t>
        </is>
      </c>
      <c r="B35" s="6" t="inlineStr">
        <is>
          <t>수사 부서 (지방청 지휘·감독)</t>
        </is>
      </c>
      <c r="C35" s="6" t="inlineStr"/>
      <c r="D35" s="17" t="inlineStr">
        <is>
          <t>운영지원과</t>
        </is>
      </c>
      <c r="E35" s="16" t="inlineStr">
        <is>
          <t>4급</t>
        </is>
      </c>
      <c r="F35" s="6" t="inlineStr">
        <is>
          <t>직제 §12</t>
        </is>
      </c>
      <c r="G35" s="6" t="inlineStr">
        <is>
          <t>1. 보안 및 청사관리
2. 관인 및 관인대장 관리
3. 문서 접수·발송·보존·관리 및 기록관 운영
4. 소속 공무원 복무·연금·급여 및 복리후생
5. 예산운영·회계 및 결산
6. 물품구매·조달 및 물품관리
7. 중대산업재해 관련 안전·보건
8. 소속 공무원 역량 개발
9. 차량 유지·운영
10. 그 밖에 청 내 다른 부서 주관에 속하지 않는 사항</t>
        </is>
      </c>
      <c r="H35" s="6" t="inlineStr"/>
      <c r="I35" s="6" t="inlineStr">
        <is>
          <t>시설·공업 7급(2) / 운전 7급(1)·8급(3)·9급(4) / 기록연구사(1)</t>
        </is>
      </c>
      <c r="J35" s="6" t="inlineStr"/>
    </row>
    <row r="36">
      <c r="A36" s="16" t="inlineStr">
        <is>
          <t>서울</t>
        </is>
      </c>
      <c r="B36" s="6" t="inlineStr">
        <is>
          <t>지휘부</t>
        </is>
      </c>
      <c r="C36" s="6" t="inlineStr"/>
      <c r="D36" s="17" t="inlineStr">
        <is>
          <t>서울지방중대범죄수사청장</t>
        </is>
      </c>
      <c r="E36" s="16" t="inlineStr">
        <is>
          <t>1급</t>
        </is>
      </c>
      <c r="F36" s="6" t="inlineStr">
        <is>
          <t>직제 §20</t>
        </is>
      </c>
      <c r="G36" s="6" t="inlineStr">
        <is>
          <t>1. 지방청의 사무를 맡아 처리하고 소속 직원을 지휘·감독 (법 §11②)
2. 중수청 소관사무를 관할구역별로 분장하여 수행 (직제 §18)</t>
        </is>
      </c>
      <c r="H36" s="6" t="inlineStr"/>
      <c r="I36" s="6" t="inlineStr"/>
      <c r="J36" s="6" t="inlineStr"/>
    </row>
    <row r="37">
      <c r="A37" s="16" t="inlineStr">
        <is>
          <t>서울</t>
        </is>
      </c>
      <c r="B37" s="6" t="inlineStr">
        <is>
          <t>지휘부</t>
        </is>
      </c>
      <c r="C37" s="6" t="inlineStr">
        <is>
          <t>서울지방중대범죄수사청장</t>
        </is>
      </c>
      <c r="D37" s="17" t="inlineStr">
        <is>
          <t>1차장</t>
        </is>
      </c>
      <c r="E37" s="16" t="inlineStr">
        <is>
          <t>2급</t>
        </is>
      </c>
      <c r="F37" s="6" t="inlineStr">
        <is>
          <t>직제 §23②</t>
        </is>
      </c>
      <c r="G37" s="6" t="inlineStr">
        <is>
          <t>1. 경제범죄수사국·금융범죄수사국 소관업무에 관하여 청장 보좌
2. 청장 직무대리 1순위 (직제 §23①)</t>
        </is>
      </c>
      <c r="H37" s="6" t="inlineStr"/>
      <c r="I37" s="6" t="inlineStr"/>
      <c r="J37" s="6" t="inlineStr"/>
    </row>
    <row r="38">
      <c r="A38" s="16" t="inlineStr">
        <is>
          <t>서울</t>
        </is>
      </c>
      <c r="B38" s="6" t="inlineStr">
        <is>
          <t>지휘부</t>
        </is>
      </c>
      <c r="C38" s="6" t="inlineStr">
        <is>
          <t>서울지방중대범죄수사청장</t>
        </is>
      </c>
      <c r="D38" s="17" t="inlineStr">
        <is>
          <t>2차장</t>
        </is>
      </c>
      <c r="E38" s="16" t="inlineStr">
        <is>
          <t>2급</t>
        </is>
      </c>
      <c r="F38" s="6" t="inlineStr">
        <is>
          <t>직제 §23③</t>
        </is>
      </c>
      <c r="G38" s="6" t="inlineStr">
        <is>
          <t>1. 반독점수사국·반부패수사국 소관업무에 관하여 청장 보좌
2. 청장 직무대리 2순위</t>
        </is>
      </c>
      <c r="H38" s="6" t="inlineStr"/>
      <c r="I38" s="6" t="inlineStr"/>
      <c r="J38" s="6" t="inlineStr"/>
    </row>
    <row r="39">
      <c r="A39" s="16" t="inlineStr">
        <is>
          <t>서울</t>
        </is>
      </c>
      <c r="B39" s="6" t="inlineStr">
        <is>
          <t>지휘부</t>
        </is>
      </c>
      <c r="C39" s="6" t="inlineStr">
        <is>
          <t>서울지방중대범죄수사청장</t>
        </is>
      </c>
      <c r="D39" s="17" t="inlineStr">
        <is>
          <t>3차장</t>
        </is>
      </c>
      <c r="E39" s="16" t="inlineStr">
        <is>
          <t>2급</t>
        </is>
      </c>
      <c r="F39" s="6" t="inlineStr">
        <is>
          <t>직제 §23④</t>
        </is>
      </c>
      <c r="G39" s="6" t="inlineStr">
        <is>
          <t>1. 마약수사국·첨단수사국 소관업무에 관하여 청장 보좌
2. 청장 직무대리 3순위</t>
        </is>
      </c>
      <c r="H39" s="6" t="inlineStr"/>
      <c r="I39" s="6" t="inlineStr"/>
      <c r="J39" s="6" t="inlineStr">
        <is>
          <t>공고 별첨1 직위표는 3차장이 첨단수사국과 사무국 업무를 총괄한다고 적고 있습니다.</t>
        </is>
      </c>
    </row>
    <row r="40">
      <c r="A40" s="16" t="inlineStr">
        <is>
          <t>서울</t>
        </is>
      </c>
      <c r="B40" s="6" t="inlineStr">
        <is>
          <t>청장 밑 담당관</t>
        </is>
      </c>
      <c r="C40" s="6" t="inlineStr"/>
      <c r="D40" s="17" t="inlineStr">
        <is>
          <t>수사심의담당관</t>
        </is>
      </c>
      <c r="E40" s="16" t="inlineStr">
        <is>
          <t>4급</t>
        </is>
      </c>
      <c r="F40" s="6" t="inlineStr">
        <is>
          <t>시행규칙 §11</t>
        </is>
      </c>
      <c r="G40" s="6" t="inlineStr">
        <is>
          <t>1. 법 제44조에 따른 수사심의
2. 구체적 사건 수사의 지휘·감독 적법성·정당성에 대한 이의제기 심의
3. 법 제47조에 따른 손실보상
4. 소송사무</t>
        </is>
      </c>
      <c r="H40" s="6" t="inlineStr"/>
      <c r="I40" s="6" t="inlineStr"/>
      <c r="J40" s="6" t="inlineStr"/>
    </row>
    <row r="41">
      <c r="A41" s="16" t="inlineStr">
        <is>
          <t>서울</t>
        </is>
      </c>
      <c r="B41" s="6" t="inlineStr">
        <is>
          <t>청장 밑 담당관</t>
        </is>
      </c>
      <c r="C41" s="6" t="inlineStr"/>
      <c r="D41" s="17" t="inlineStr">
        <is>
          <t>인권보호담당관</t>
        </is>
      </c>
      <c r="E41" s="16" t="inlineStr">
        <is>
          <t>4급</t>
        </is>
      </c>
      <c r="F41" s="6" t="inlineStr">
        <is>
          <t>시행규칙 §12</t>
        </is>
      </c>
      <c r="G41" s="6" t="inlineStr">
        <is>
          <t>1. 인권침해 예방·감독
2. 소속 공무원 인권침해 사건 처리
3. 범죄피해자 보호·지원
4. 양성평등 및 성희롱·성폭력 예방
5. 소속 공무원의 양성평등 침해 및 성희롱·성폭력 사건 처리
6. 소속 공무원의 비위 조사
7. 비위 정보수집·관리 및 진정, 내사사건의 조사·처리</t>
        </is>
      </c>
      <c r="H41" s="6" t="inlineStr"/>
      <c r="I41" s="6" t="inlineStr"/>
      <c r="J41" s="6" t="inlineStr"/>
    </row>
    <row r="42">
      <c r="A42" s="16" t="inlineStr">
        <is>
          <t>서울</t>
        </is>
      </c>
      <c r="B42" s="6" t="inlineStr">
        <is>
          <t>청장 밑 담당관</t>
        </is>
      </c>
      <c r="C42" s="6" t="inlineStr"/>
      <c r="D42" s="17" t="inlineStr">
        <is>
          <t>기획공보담당관</t>
        </is>
      </c>
      <c r="E42" s="16" t="inlineStr">
        <is>
          <t>4급</t>
        </is>
      </c>
      <c r="F42" s="6" t="inlineStr">
        <is>
          <t>시행규칙 §13</t>
        </is>
      </c>
      <c r="G42" s="6" t="inlineStr">
        <is>
          <t>1. 기본운영계획 수립 및 심사분석
2. 주요 업무계획 수립·총괄·조정 및 각종 지시
3. 중수청 소관 법령
4. 국정감사 등 국회 관련 사항
5. 사무감사
6. 청 업무의 대외 공표
7. 청의 홍보기획
8. 보도자료 관리·분석, 오보·왜곡보도 대응
9. 언론취재 지원 및 협조</t>
        </is>
      </c>
      <c r="H42" s="6" t="inlineStr"/>
      <c r="I42" s="6" t="inlineStr"/>
      <c r="J42" s="6" t="inlineStr"/>
    </row>
    <row r="43">
      <c r="A43" s="16" t="inlineStr">
        <is>
          <t>서울</t>
        </is>
      </c>
      <c r="B43" s="6" t="inlineStr">
        <is>
          <t>청장 밑 담당관</t>
        </is>
      </c>
      <c r="C43" s="6" t="inlineStr"/>
      <c r="D43" s="17" t="inlineStr">
        <is>
          <t>수사정보담당관</t>
        </is>
      </c>
      <c r="E43" s="16" t="inlineStr">
        <is>
          <t>4급</t>
        </is>
      </c>
      <c r="F43" s="6" t="inlineStr">
        <is>
          <t>시행규칙 §14</t>
        </is>
      </c>
      <c r="G43" s="6" t="inlineStr">
        <is>
          <t>1. 중수청 직무에 속하는 범죄 관련 정보·자료의 수집·분석·관리
2. 청장이 지정하는 중대범죄등 관련 정보
3. 제1호·제2호 업무와 관련된 사항</t>
        </is>
      </c>
      <c r="H43" s="6" t="inlineStr"/>
      <c r="I43" s="6" t="inlineStr"/>
      <c r="J43" s="6" t="inlineStr"/>
    </row>
    <row r="44">
      <c r="A44" s="16" t="inlineStr">
        <is>
          <t>서울</t>
        </is>
      </c>
      <c r="B44" s="6" t="inlineStr">
        <is>
          <t>사무국</t>
        </is>
      </c>
      <c r="C44" s="6" t="inlineStr"/>
      <c r="D44" s="17" t="inlineStr">
        <is>
          <t>사무국</t>
        </is>
      </c>
      <c r="E44" s="16" t="inlineStr">
        <is>
          <t>3급</t>
        </is>
      </c>
      <c r="F44" s="6" t="inlineStr">
        <is>
          <t>직제 §24</t>
        </is>
      </c>
      <c r="G44" s="6" t="inlineStr">
        <is>
          <t>1. 보안 및 청사관리
2. 관인 및 관인대장 관리
3. 문서 접수·발송·보존·관리 및 기록관 운영
4. 소속 공무원 임용·교육훈련 등 인사관리
5. 복무·연금·급여 및 복리후생
6. 예산운영·회계 및 결산
7. 물품구매·조달 및 물품관리
8. 중대산업재해 관련 안전·보건
9. 차량 유지·운영
10. 전산장비·자료 및 통신기기 운영·관리
11. 사건의 접수 및 처리
12. 압수금품 접수·처리 및 보관·관리
13. 사건기록 보존 및 관리
14. 청장이 명하는 범죄사건의 수사지원
15. 정보처리장치·정보통신매체 증거자료 압수·수색 및 분석
16. 그 밖에 청 내 다른 부서의 주관에 속하지 않는 사항</t>
        </is>
      </c>
      <c r="H44" s="6" t="inlineStr"/>
      <c r="I44" s="6" t="inlineStr">
        <is>
          <t>총무과: 전산·방송통신 6급(1)·7급(1)·8급(1)·9급(2) / 시설 7급(1)·8급(1)·9급(1) / 운전 7급(1)·8급(4)·9급(9) / 방호 8급(2)·9급(2) / 기록연구사(1)</t>
        </is>
      </c>
      <c r="J44" s="6" t="inlineStr"/>
    </row>
    <row r="45">
      <c r="A45" s="16" t="inlineStr">
        <is>
          <t>서울</t>
        </is>
      </c>
      <c r="B45" s="6" t="inlineStr">
        <is>
          <t>사무국</t>
        </is>
      </c>
      <c r="C45" s="6" t="inlineStr">
        <is>
          <t>사무국</t>
        </is>
      </c>
      <c r="D45" s="17" t="inlineStr">
        <is>
          <t>총무과</t>
        </is>
      </c>
      <c r="E45" s="16" t="inlineStr">
        <is>
          <t>4급</t>
        </is>
      </c>
      <c r="F45" s="6" t="inlineStr">
        <is>
          <t>시행규칙 §15②</t>
        </is>
      </c>
      <c r="G45" s="6" t="inlineStr">
        <is>
          <t>1. 보안, 관인 및 관인대장 관리
2. 기록물 정리·분류·접수·발송·보존·이관·폐기·활용, 기록관 및 기록관리시스템 운영
3. 소속 공무원의 임용·교육훈련 등 인사관리
4. 복무·연금·급여 및 복리후생
5. 예산운영·회계 및 결산
6. 물품 관리 및 물품·용역·공사 계약
7. 차량 유지·운영
8. 민원, 국민신문고 및 정보공개제도 운영
9. 전산장비·자료 및 통신기기 운영·관리
10. 그 밖에 국 내 다른 과의 주관에 속하지 않는 사항</t>
        </is>
      </c>
      <c r="H45" s="6" t="inlineStr"/>
      <c r="I45" s="6" t="inlineStr"/>
      <c r="J45" s="6" t="inlineStr"/>
    </row>
    <row r="46">
      <c r="A46" s="16" t="inlineStr">
        <is>
          <t>서울</t>
        </is>
      </c>
      <c r="B46" s="6" t="inlineStr">
        <is>
          <t>사무국</t>
        </is>
      </c>
      <c r="C46" s="6" t="inlineStr">
        <is>
          <t>사무국</t>
        </is>
      </c>
      <c r="D46" s="17" t="inlineStr">
        <is>
          <t>사건과</t>
        </is>
      </c>
      <c r="E46" s="16" t="inlineStr">
        <is>
          <t>4급</t>
        </is>
      </c>
      <c r="F46" s="6" t="inlineStr">
        <is>
          <t>시행규칙 §15③</t>
        </is>
      </c>
      <c r="G46" s="6" t="inlineStr">
        <is>
          <t>1. 사건의 접수 및 처리
2. 영장
3. 청 소관 사건사무 및 정보보고
4. 진정·탄원·제보 등으로 내사사건 등록된 사건 처리
5. 사건통계
6. 경찰 등 다른 수사기관의 통보사건 접수 및 처리</t>
        </is>
      </c>
      <c r="H46" s="6" t="inlineStr"/>
      <c r="I46" s="6" t="inlineStr"/>
      <c r="J46" s="6" t="inlineStr"/>
    </row>
    <row r="47">
      <c r="A47" s="16" t="inlineStr">
        <is>
          <t>서울</t>
        </is>
      </c>
      <c r="B47" s="6" t="inlineStr">
        <is>
          <t>사무국</t>
        </is>
      </c>
      <c r="C47" s="6" t="inlineStr">
        <is>
          <t>사무국</t>
        </is>
      </c>
      <c r="D47" s="17" t="inlineStr">
        <is>
          <t>증거기록과</t>
        </is>
      </c>
      <c r="E47" s="16" t="inlineStr">
        <is>
          <t>4급</t>
        </is>
      </c>
      <c r="F47" s="6" t="inlineStr">
        <is>
          <t>시행규칙 §15④</t>
        </is>
      </c>
      <c r="G47" s="6" t="inlineStr">
        <is>
          <t>1. 압수금품의 접수 및 처리
2. 압수금품의 보관·관리
3. 사건기록의 보존·관리</t>
        </is>
      </c>
      <c r="H47" s="6" t="inlineStr"/>
      <c r="I47" s="6" t="inlineStr"/>
      <c r="J47" s="6" t="inlineStr"/>
    </row>
    <row r="48">
      <c r="A48" s="16" t="inlineStr">
        <is>
          <t>서울</t>
        </is>
      </c>
      <c r="B48" s="6" t="inlineStr">
        <is>
          <t>사무국</t>
        </is>
      </c>
      <c r="C48" s="6" t="inlineStr">
        <is>
          <t>사무국</t>
        </is>
      </c>
      <c r="D48" s="17" t="inlineStr">
        <is>
          <t>수사지원과</t>
        </is>
      </c>
      <c r="E48" s="16" t="inlineStr">
        <is>
          <t>4급</t>
        </is>
      </c>
      <c r="F48" s="6" t="inlineStr">
        <is>
          <t>시행규칙 §15⑤</t>
        </is>
      </c>
      <c r="G48" s="6" t="inlineStr">
        <is>
          <t>1. 청장이 명하는 중대범죄등 사건의 수사지원
2. 소재수사, 호송 등 수사지원
3. 수사지원 중 발생하는 범죄사건의 수사지원</t>
        </is>
      </c>
      <c r="H48" s="6" t="inlineStr"/>
      <c r="I48" s="6" t="inlineStr"/>
      <c r="J48" s="6" t="inlineStr"/>
    </row>
    <row r="49">
      <c r="A49" s="16" t="inlineStr">
        <is>
          <t>서울</t>
        </is>
      </c>
      <c r="B49" s="6" t="inlineStr">
        <is>
          <t>사무국</t>
        </is>
      </c>
      <c r="C49" s="6" t="inlineStr">
        <is>
          <t>사무국</t>
        </is>
      </c>
      <c r="D49" s="17" t="inlineStr">
        <is>
          <t>과학수사지원과</t>
        </is>
      </c>
      <c r="E49" s="16" t="inlineStr">
        <is>
          <t>4급</t>
        </is>
      </c>
      <c r="F49" s="6" t="inlineStr">
        <is>
          <t>시행규칙 §15⑥</t>
        </is>
      </c>
      <c r="G49" s="6" t="inlineStr">
        <is>
          <t>1. 컴퓨터 등 정보처리장치·정보통신매체 관련 증거자료의 압수·수색 및 분석
2. 과학수사장비 운영</t>
        </is>
      </c>
      <c r="H49" s="6" t="inlineStr"/>
      <c r="I49" s="6" t="inlineStr"/>
      <c r="J49" s="6" t="inlineStr"/>
    </row>
    <row r="50">
      <c r="A50" s="16" t="inlineStr">
        <is>
          <t>서울</t>
        </is>
      </c>
      <c r="B50" s="6" t="inlineStr">
        <is>
          <t>1차장 소관</t>
        </is>
      </c>
      <c r="C50" s="6" t="inlineStr"/>
      <c r="D50" s="17" t="inlineStr">
        <is>
          <t>경제범죄수사국</t>
        </is>
      </c>
      <c r="E50" s="16" t="inlineStr">
        <is>
          <t>3급</t>
        </is>
      </c>
      <c r="F50" s="6" t="inlineStr">
        <is>
          <t>직제 §25</t>
        </is>
      </c>
      <c r="G50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50" s="6" t="inlineStr">
        <is>
          <t>- 경제범죄·조세범죄·재산국외도피·범죄수익은닉범죄사건
- 범죄수익추적·환수를 위한 수사</t>
        </is>
      </c>
      <c r="I50" s="6" t="inlineStr"/>
      <c r="J50" s="6" t="inlineStr"/>
    </row>
    <row r="51">
      <c r="A51" s="16" t="inlineStr">
        <is>
          <t>서울</t>
        </is>
      </c>
      <c r="B51" s="6" t="inlineStr">
        <is>
          <t>1차장 소관</t>
        </is>
      </c>
      <c r="C51" s="6" t="inlineStr">
        <is>
          <t>경제범죄수사국</t>
        </is>
      </c>
      <c r="D51" s="17" t="inlineStr">
        <is>
          <t>중대경제범죄수사1과</t>
        </is>
      </c>
      <c r="E51" s="16" t="inlineStr">
        <is>
          <t>4급</t>
        </is>
      </c>
      <c r="F51" s="6" t="inlineStr">
        <is>
          <t>시행규칙 §16②</t>
        </is>
      </c>
      <c r="G51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51" s="6" t="inlineStr">
        <is>
          <t>- 「형법」 제2편 제39장(사기·공갈)·제40장(횡령·배임)의 범죄
- 「특정경제범죄 가중처벌 등에 관한 법률」 제3조, 제5조~제9조
- 법 제2조제2호나목 사건 중 경제범죄</t>
        </is>
      </c>
      <c r="I51" s="6" t="inlineStr"/>
      <c r="J51" s="6" t="inlineStr">
        <is>
          <t>1과·2과 간 구체적 사무분장은 청장이 정합니다. “그 밖의 사항”은 1과 수행.</t>
        </is>
      </c>
    </row>
    <row r="52">
      <c r="A52" s="16" t="inlineStr">
        <is>
          <t>서울</t>
        </is>
      </c>
      <c r="B52" s="6" t="inlineStr">
        <is>
          <t>1차장 소관</t>
        </is>
      </c>
      <c r="C52" s="6" t="inlineStr">
        <is>
          <t>경제범죄수사국</t>
        </is>
      </c>
      <c r="D52" s="17" t="inlineStr">
        <is>
          <t>중대경제범죄수사2과</t>
        </is>
      </c>
      <c r="E52" s="16" t="inlineStr">
        <is>
          <t>4급</t>
        </is>
      </c>
      <c r="F52" s="6" t="inlineStr">
        <is>
          <t>시행규칙 §16②</t>
        </is>
      </c>
      <c r="G52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52" s="6" t="inlineStr">
        <is>
          <t>- 「형법」 제2편 제39장(사기·공갈)·제40장(횡령·배임)의 범죄
- 「특정경제범죄 가중처벌 등에 관한 법률」 제3조, 제5조~제9조
- 법 제2조제2호나목 사건 중 경제범죄</t>
        </is>
      </c>
      <c r="I52" s="6" t="inlineStr"/>
      <c r="J52" s="6" t="inlineStr">
        <is>
          <t>1과·2과 간 구체적 사무분장은 청장이 정합니다.</t>
        </is>
      </c>
    </row>
    <row r="53">
      <c r="A53" s="16" t="inlineStr">
        <is>
          <t>서울</t>
        </is>
      </c>
      <c r="B53" s="6" t="inlineStr">
        <is>
          <t>1차장 소관</t>
        </is>
      </c>
      <c r="C53" s="6" t="inlineStr">
        <is>
          <t>경제범죄수사국</t>
        </is>
      </c>
      <c r="D53" s="17" t="inlineStr">
        <is>
          <t>조세범죄수사과</t>
        </is>
      </c>
      <c r="E53" s="16" t="inlineStr">
        <is>
          <t>4급</t>
        </is>
      </c>
      <c r="F53" s="6" t="inlineStr">
        <is>
          <t>시행규칙 §16③</t>
        </is>
      </c>
      <c r="G53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53" s="6" t="inlineStr">
        <is>
          <t>- 「특정범죄 가중처벌 등에 관한 법률」 제6조·제8조·제8조의2
- 법 제2조제2호나목 사건 중 조세범죄</t>
        </is>
      </c>
      <c r="I53" s="6" t="inlineStr"/>
      <c r="J53" s="6" t="inlineStr"/>
    </row>
    <row r="54">
      <c r="A54" s="16" t="inlineStr">
        <is>
          <t>서울</t>
        </is>
      </c>
      <c r="B54" s="6" t="inlineStr">
        <is>
          <t>1차장 소관</t>
        </is>
      </c>
      <c r="C54" s="6" t="inlineStr">
        <is>
          <t>경제범죄수사국</t>
        </is>
      </c>
      <c r="D54" s="17" t="inlineStr">
        <is>
          <t>국제경제범죄수사과</t>
        </is>
      </c>
      <c r="E54" s="16" t="inlineStr">
        <is>
          <t>4급</t>
        </is>
      </c>
      <c r="F54" s="6" t="inlineStr">
        <is>
          <t>시행규칙 §16④</t>
        </is>
      </c>
      <c r="G54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54" s="6" t="inlineStr">
        <is>
          <t>- 시행규칙 §7②1호 가목~다목 범죄 중 외국인 관련 사건
- 법 제2조제2호나목 경제·조세범죄 중 외국인 관련 사건</t>
        </is>
      </c>
      <c r="I54" s="6" t="inlineStr"/>
      <c r="J54" s="6" t="inlineStr"/>
    </row>
    <row r="55">
      <c r="A55" s="16" t="inlineStr">
        <is>
          <t>서울</t>
        </is>
      </c>
      <c r="B55" s="6" t="inlineStr">
        <is>
          <t>1차장 소관</t>
        </is>
      </c>
      <c r="C55" s="6" t="inlineStr">
        <is>
          <t>경제범죄수사국</t>
        </is>
      </c>
      <c r="D55" s="17" t="inlineStr">
        <is>
          <t>범죄수익수사과</t>
        </is>
      </c>
      <c r="E55" s="16" t="inlineStr">
        <is>
          <t>4급</t>
        </is>
      </c>
      <c r="F55" s="6" t="inlineStr">
        <is>
          <t>시행규칙 §16⑤</t>
        </is>
      </c>
      <c r="G55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55" s="6" t="inlineStr">
        <is>
          <t>- 「특정경제범죄 가중처벌 등에 관한 법률」 제4조(재산국외도피)
- 법 제2조제1호바목(범죄수익은닉규제법 제3조·제4조) 범죄
- 법 제2조제2호나목 사건 중 재산국외도피·범죄수익은닉범죄
- 범죄수익의 추적 및 환수 지원</t>
        </is>
      </c>
      <c r="I55" s="6" t="inlineStr"/>
      <c r="J55" s="6" t="inlineStr"/>
    </row>
    <row r="56">
      <c r="A56" s="16" t="inlineStr">
        <is>
          <t>서울</t>
        </is>
      </c>
      <c r="B56" s="6" t="inlineStr">
        <is>
          <t>1차장 소관</t>
        </is>
      </c>
      <c r="C56" s="6" t="inlineStr"/>
      <c r="D56" s="17" t="inlineStr">
        <is>
          <t>금융범죄수사국</t>
        </is>
      </c>
      <c r="E56" s="16" t="inlineStr">
        <is>
          <t>3급</t>
        </is>
      </c>
      <c r="F56" s="6" t="inlineStr">
        <is>
          <t>직제 §26</t>
        </is>
      </c>
      <c r="G56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56" s="6" t="inlineStr">
        <is>
          <t>- 금융범죄·가상자산범죄사건</t>
        </is>
      </c>
      <c r="I56" s="6" t="inlineStr"/>
      <c r="J56" s="6" t="inlineStr"/>
    </row>
    <row r="57">
      <c r="A57" s="16" t="inlineStr">
        <is>
          <t>서울</t>
        </is>
      </c>
      <c r="B57" s="6" t="inlineStr">
        <is>
          <t>1차장 소관</t>
        </is>
      </c>
      <c r="C57" s="6" t="inlineStr">
        <is>
          <t>금융범죄수사국</t>
        </is>
      </c>
      <c r="D57" s="17" t="inlineStr">
        <is>
          <t>금융범죄수사1과</t>
        </is>
      </c>
      <c r="E57" s="16" t="inlineStr">
        <is>
          <t>4급</t>
        </is>
      </c>
      <c r="F57" s="6" t="inlineStr">
        <is>
          <t>시행규칙 §17②</t>
        </is>
      </c>
      <c r="G57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57" s="6" t="inlineStr">
        <is>
          <t>- 「자본시장과 금융투자업에 관한 법률」 위반
- 법 제2조제2호나목 사건 중 금융범죄</t>
        </is>
      </c>
      <c r="I57" s="6" t="inlineStr"/>
      <c r="J57" s="6" t="inlineStr">
        <is>
          <t>1과·2과·합동수사과 간 구체적 사무분장은 청장이 정합니다.</t>
        </is>
      </c>
    </row>
    <row r="58">
      <c r="A58" s="16" t="inlineStr">
        <is>
          <t>서울</t>
        </is>
      </c>
      <c r="B58" s="6" t="inlineStr">
        <is>
          <t>1차장 소관</t>
        </is>
      </c>
      <c r="C58" s="6" t="inlineStr">
        <is>
          <t>금융범죄수사국</t>
        </is>
      </c>
      <c r="D58" s="17" t="inlineStr">
        <is>
          <t>금융범죄수사2과</t>
        </is>
      </c>
      <c r="E58" s="16" t="inlineStr">
        <is>
          <t>4급</t>
        </is>
      </c>
      <c r="F58" s="6" t="inlineStr">
        <is>
          <t>시행규칙 §17②</t>
        </is>
      </c>
      <c r="G58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58" s="6" t="inlineStr">
        <is>
          <t>- 「자본시장과 금융투자업에 관한 법률」 위반
- 법 제2조제2호나목 사건 중 금융범죄</t>
        </is>
      </c>
      <c r="I58" s="6" t="inlineStr"/>
      <c r="J58" s="6" t="inlineStr"/>
    </row>
    <row r="59">
      <c r="A59" s="16" t="inlineStr">
        <is>
          <t>서울</t>
        </is>
      </c>
      <c r="B59" s="6" t="inlineStr">
        <is>
          <t>1차장 소관</t>
        </is>
      </c>
      <c r="C59" s="6" t="inlineStr">
        <is>
          <t>금융범죄수사국</t>
        </is>
      </c>
      <c r="D59" s="17" t="inlineStr">
        <is>
          <t>금융범죄합동수사과</t>
        </is>
      </c>
      <c r="E59" s="16" t="inlineStr">
        <is>
          <t>4급</t>
        </is>
      </c>
      <c r="F59" s="6" t="inlineStr">
        <is>
          <t>시행규칙 §17②</t>
        </is>
      </c>
      <c r="G59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59" s="6" t="inlineStr">
        <is>
          <t>- 「자본시장과 금융투자업에 관한 법률」 위반
- 법 제2조제2호나목 사건 중 금융범죄</t>
        </is>
      </c>
      <c r="I59" s="6" t="inlineStr"/>
      <c r="J59" s="6" t="inlineStr"/>
    </row>
    <row r="60">
      <c r="A60" s="16" t="inlineStr">
        <is>
          <t>서울</t>
        </is>
      </c>
      <c r="B60" s="6" t="inlineStr">
        <is>
          <t>1차장 소관</t>
        </is>
      </c>
      <c r="C60" s="6" t="inlineStr">
        <is>
          <t>금융범죄수사국</t>
        </is>
      </c>
      <c r="D60" s="17" t="inlineStr">
        <is>
          <t>가상자산합동수사과</t>
        </is>
      </c>
      <c r="E60" s="16" t="inlineStr">
        <is>
          <t>4급</t>
        </is>
      </c>
      <c r="F60" s="6" t="inlineStr">
        <is>
          <t>시행규칙 §17③</t>
        </is>
      </c>
      <c r="G60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60" s="6" t="inlineStr">
        <is>
          <t>- 「가상자산 이용자 보호 등에 관한 법률」 위반
- 법 제2조제2호나목 사건 중 가상자산범죄</t>
        </is>
      </c>
      <c r="I60" s="6" t="inlineStr">
        <is>
          <t>전산·방송통신 6급(3)·7급(5)·8급(5)·9급(3)</t>
        </is>
      </c>
      <c r="J60" s="6" t="inlineStr"/>
    </row>
    <row r="61">
      <c r="A61" s="16" t="inlineStr">
        <is>
          <t>서울</t>
        </is>
      </c>
      <c r="B61" s="6" t="inlineStr">
        <is>
          <t>2차장 소관</t>
        </is>
      </c>
      <c r="C61" s="6" t="inlineStr"/>
      <c r="D61" s="17" t="inlineStr">
        <is>
          <t>반독점수사국</t>
        </is>
      </c>
      <c r="E61" s="16" t="inlineStr">
        <is>
          <t>3급</t>
        </is>
      </c>
      <c r="F61" s="6" t="inlineStr">
        <is>
          <t>직제 §27</t>
        </is>
      </c>
      <c r="G61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61" s="6" t="inlineStr">
        <is>
          <t>- 공정거래·기업범죄사건</t>
        </is>
      </c>
      <c r="I61" s="6" t="inlineStr"/>
      <c r="J61" s="6" t="inlineStr"/>
    </row>
    <row r="62">
      <c r="A62" s="16" t="inlineStr">
        <is>
          <t>서울</t>
        </is>
      </c>
      <c r="B62" s="6" t="inlineStr">
        <is>
          <t>2차장 소관</t>
        </is>
      </c>
      <c r="C62" s="6" t="inlineStr">
        <is>
          <t>반독점수사국</t>
        </is>
      </c>
      <c r="D62" s="17" t="inlineStr">
        <is>
          <t>반독점수사1과</t>
        </is>
      </c>
      <c r="E62" s="16" t="inlineStr">
        <is>
          <t>4급</t>
        </is>
      </c>
      <c r="F62" s="6" t="inlineStr">
        <is>
          <t>시행규칙 §18②</t>
        </is>
      </c>
      <c r="G62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62" s="6" t="inlineStr">
        <is>
          <t>- 「독점규제 및 공정거래에 관한 법률」 제124조·제125조
- 법 제2조제2호나목 사건 중 공정거래·기업범죄</t>
        </is>
      </c>
      <c r="I62" s="6" t="inlineStr"/>
      <c r="J62" s="6" t="inlineStr">
        <is>
          <t>각 과 간 구체적 사무분장은 청장이 정합니다.</t>
        </is>
      </c>
    </row>
    <row r="63">
      <c r="A63" s="16" t="inlineStr">
        <is>
          <t>서울</t>
        </is>
      </c>
      <c r="B63" s="6" t="inlineStr">
        <is>
          <t>2차장 소관</t>
        </is>
      </c>
      <c r="C63" s="6" t="inlineStr">
        <is>
          <t>반독점수사국</t>
        </is>
      </c>
      <c r="D63" s="17" t="inlineStr">
        <is>
          <t>반독점수사2과</t>
        </is>
      </c>
      <c r="E63" s="16" t="inlineStr">
        <is>
          <t>4급</t>
        </is>
      </c>
      <c r="F63" s="6" t="inlineStr">
        <is>
          <t>시행규칙 §18②</t>
        </is>
      </c>
      <c r="G63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63" s="6" t="inlineStr">
        <is>
          <t>- 「독점규제 및 공정거래에 관한 법률」 제124조·제125조
- 법 제2조제2호나목 사건 중 공정거래·기업범죄</t>
        </is>
      </c>
      <c r="I63" s="6" t="inlineStr"/>
      <c r="J63" s="6" t="inlineStr">
        <is>
          <t>각 과 간 구체적 사무분장은 청장이 정합니다.</t>
        </is>
      </c>
    </row>
    <row r="64">
      <c r="A64" s="16" t="inlineStr">
        <is>
          <t>서울</t>
        </is>
      </c>
      <c r="B64" s="6" t="inlineStr">
        <is>
          <t>2차장 소관</t>
        </is>
      </c>
      <c r="C64" s="6" t="inlineStr">
        <is>
          <t>반독점수사국</t>
        </is>
      </c>
      <c r="D64" s="17" t="inlineStr">
        <is>
          <t>반독점수사3과</t>
        </is>
      </c>
      <c r="E64" s="16" t="inlineStr">
        <is>
          <t>4급</t>
        </is>
      </c>
      <c r="F64" s="6" t="inlineStr">
        <is>
          <t>시행규칙 §18②</t>
        </is>
      </c>
      <c r="G64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64" s="6" t="inlineStr">
        <is>
          <t>- 「독점규제 및 공정거래에 관한 법률」 제124조·제125조
- 법 제2조제2호나목 사건 중 공정거래·기업범죄</t>
        </is>
      </c>
      <c r="I64" s="6" t="inlineStr"/>
      <c r="J64" s="6" t="inlineStr">
        <is>
          <t>각 과 간 구체적 사무분장은 청장이 정합니다.</t>
        </is>
      </c>
    </row>
    <row r="65">
      <c r="A65" s="16" t="inlineStr">
        <is>
          <t>서울</t>
        </is>
      </c>
      <c r="B65" s="6" t="inlineStr">
        <is>
          <t>2차장 소관</t>
        </is>
      </c>
      <c r="C65" s="6" t="inlineStr">
        <is>
          <t>반독점수사국</t>
        </is>
      </c>
      <c r="D65" s="17" t="inlineStr">
        <is>
          <t>반독점수사4과</t>
        </is>
      </c>
      <c r="E65" s="16" t="inlineStr">
        <is>
          <t>4급</t>
        </is>
      </c>
      <c r="F65" s="6" t="inlineStr">
        <is>
          <t>시행규칙 §18②</t>
        </is>
      </c>
      <c r="G65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65" s="6" t="inlineStr">
        <is>
          <t>- 「독점규제 및 공정거래에 관한 법률」 제124조·제125조
- 법 제2조제2호나목 사건 중 공정거래·기업범죄</t>
        </is>
      </c>
      <c r="I65" s="6" t="inlineStr"/>
      <c r="J65" s="6" t="inlineStr">
        <is>
          <t>각 과 간 구체적 사무분장은 청장이 정합니다.</t>
        </is>
      </c>
    </row>
    <row r="66">
      <c r="A66" s="16" t="inlineStr">
        <is>
          <t>서울</t>
        </is>
      </c>
      <c r="B66" s="6" t="inlineStr">
        <is>
          <t>2차장 소관</t>
        </is>
      </c>
      <c r="C66" s="6" t="inlineStr"/>
      <c r="D66" s="17" t="inlineStr">
        <is>
          <t>반부패수사국</t>
        </is>
      </c>
      <c r="E66" s="16" t="inlineStr">
        <is>
          <t>3급</t>
        </is>
      </c>
      <c r="F66" s="6" t="inlineStr">
        <is>
          <t>직제 §28</t>
        </is>
      </c>
      <c r="G66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66" s="6" t="inlineStr">
        <is>
          <t>- 부패범죄, 공소청·공수처·법원·경찰 등 공무원 범죄, 공공안전·정치자금 관련 범죄사건
- 보완수사 요구 사건(형소법 §197의2⑧), 재수사 요구 사건(§245의8⑨)</t>
        </is>
      </c>
      <c r="I66" s="6" t="inlineStr"/>
      <c r="J66" s="6" t="inlineStr"/>
    </row>
    <row r="67">
      <c r="A67" s="16" t="inlineStr">
        <is>
          <t>서울</t>
        </is>
      </c>
      <c r="B67" s="6" t="inlineStr">
        <is>
          <t>2차장 소관</t>
        </is>
      </c>
      <c r="C67" s="6" t="inlineStr">
        <is>
          <t>반부패수사국</t>
        </is>
      </c>
      <c r="D67" s="17" t="inlineStr">
        <is>
          <t>반부패수사1과</t>
        </is>
      </c>
      <c r="E67" s="16" t="inlineStr">
        <is>
          <t>4급</t>
        </is>
      </c>
      <c r="F67" s="6" t="inlineStr">
        <is>
          <t>시행규칙 §19②</t>
        </is>
      </c>
      <c r="G67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67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</t>
        </is>
      </c>
      <c r="I67" s="6" t="inlineStr"/>
      <c r="J67" s="6" t="inlineStr">
        <is>
          <t>각 과 간 구체적 사무분장은 청장이 정합니다.</t>
        </is>
      </c>
    </row>
    <row r="68">
      <c r="A68" s="16" t="inlineStr">
        <is>
          <t>서울</t>
        </is>
      </c>
      <c r="B68" s="6" t="inlineStr">
        <is>
          <t>2차장 소관</t>
        </is>
      </c>
      <c r="C68" s="6" t="inlineStr">
        <is>
          <t>반부패수사국</t>
        </is>
      </c>
      <c r="D68" s="17" t="inlineStr">
        <is>
          <t>반부패수사2과</t>
        </is>
      </c>
      <c r="E68" s="16" t="inlineStr">
        <is>
          <t>4급</t>
        </is>
      </c>
      <c r="F68" s="6" t="inlineStr">
        <is>
          <t>시행규칙 §19②</t>
        </is>
      </c>
      <c r="G68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68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</t>
        </is>
      </c>
      <c r="I68" s="6" t="inlineStr"/>
      <c r="J68" s="6" t="inlineStr">
        <is>
          <t>각 과 간 구체적 사무분장은 청장이 정합니다.</t>
        </is>
      </c>
    </row>
    <row r="69">
      <c r="A69" s="16" t="inlineStr">
        <is>
          <t>서울</t>
        </is>
      </c>
      <c r="B69" s="6" t="inlineStr">
        <is>
          <t>2차장 소관</t>
        </is>
      </c>
      <c r="C69" s="6" t="inlineStr">
        <is>
          <t>반부패수사국</t>
        </is>
      </c>
      <c r="D69" s="17" t="inlineStr">
        <is>
          <t>반부패수사3과</t>
        </is>
      </c>
      <c r="E69" s="16" t="inlineStr">
        <is>
          <t>4급</t>
        </is>
      </c>
      <c r="F69" s="6" t="inlineStr">
        <is>
          <t>시행규칙 §19②</t>
        </is>
      </c>
      <c r="G69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69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</t>
        </is>
      </c>
      <c r="I69" s="6" t="inlineStr"/>
      <c r="J69" s="6" t="inlineStr">
        <is>
          <t>각 과 간 구체적 사무분장은 청장이 정합니다.</t>
        </is>
      </c>
    </row>
    <row r="70">
      <c r="A70" s="16" t="inlineStr">
        <is>
          <t>서울</t>
        </is>
      </c>
      <c r="B70" s="6" t="inlineStr">
        <is>
          <t>2차장 소관</t>
        </is>
      </c>
      <c r="C70" s="6" t="inlineStr">
        <is>
          <t>반부패수사국</t>
        </is>
      </c>
      <c r="D70" s="17" t="inlineStr">
        <is>
          <t>공공안전수사과</t>
        </is>
      </c>
      <c r="E70" s="16" t="inlineStr">
        <is>
          <t>4급</t>
        </is>
      </c>
      <c r="F70" s="6" t="inlineStr">
        <is>
          <t>시행규칙 §19③</t>
        </is>
      </c>
      <c r="G70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70" s="6" t="inlineStr">
        <is>
          <t>- 「형법」 제2편 제1장(내란)·제2장(외환)의 죄, 제128조
- 「정치자금법」 제45조
- 「국가정보원법」 제21조·제22조
- 「국회에서의 증언·감정 등에 관한 법률」 제14조제1항
- 법 제2조제2호나목 사건 중 공공안전·정치자금·국회위증 범죄</t>
        </is>
      </c>
      <c r="I70" s="6" t="inlineStr"/>
      <c r="J70" s="6" t="inlineStr"/>
    </row>
    <row r="71">
      <c r="A71" s="16" t="inlineStr">
        <is>
          <t>서울</t>
        </is>
      </c>
      <c r="B71" s="6" t="inlineStr">
        <is>
          <t>2차장 소관</t>
        </is>
      </c>
      <c r="C71" s="6" t="inlineStr">
        <is>
          <t>반부패수사국</t>
        </is>
      </c>
      <c r="D71" s="17" t="inlineStr">
        <is>
          <t>사회약자범죄특별수사과</t>
        </is>
      </c>
      <c r="E71" s="16" t="inlineStr">
        <is>
          <t>4급</t>
        </is>
      </c>
      <c r="F71" s="6" t="inlineStr">
        <is>
          <t>시행규칙 §19④</t>
        </is>
      </c>
      <c r="G71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71" s="6" t="inlineStr">
        <is>
          <t>- 「형사소송법」 제197조의2제8항 보완수사 요구 사건
- 「형사소송법」 제245조의8제9항 재수사 요구 사건</t>
        </is>
      </c>
      <c r="I71" s="6" t="inlineStr"/>
      <c r="J71" s="6" t="inlineStr">
        <is>
          <t>공고 별첨1 직위표 기능: “공소청 요구 보완수사”.</t>
        </is>
      </c>
    </row>
    <row r="72">
      <c r="A72" s="16" t="inlineStr">
        <is>
          <t>서울</t>
        </is>
      </c>
      <c r="B72" s="6" t="inlineStr">
        <is>
          <t>3차장 소관</t>
        </is>
      </c>
      <c r="C72" s="6" t="inlineStr"/>
      <c r="D72" s="17" t="inlineStr">
        <is>
          <t>마약수사국</t>
        </is>
      </c>
      <c r="E72" s="16" t="inlineStr">
        <is>
          <t>3급</t>
        </is>
      </c>
      <c r="F72" s="6" t="inlineStr">
        <is>
          <t>직제 §29</t>
        </is>
      </c>
      <c r="G72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72" s="6" t="inlineStr">
        <is>
          <t>- 마약류 범죄사건</t>
        </is>
      </c>
      <c r="I72" s="6" t="inlineStr"/>
      <c r="J72" s="6" t="inlineStr"/>
    </row>
    <row r="73">
      <c r="A73" s="16" t="inlineStr">
        <is>
          <t>서울</t>
        </is>
      </c>
      <c r="B73" s="6" t="inlineStr">
        <is>
          <t>3차장 소관</t>
        </is>
      </c>
      <c r="C73" s="6" t="inlineStr">
        <is>
          <t>마약수사국</t>
        </is>
      </c>
      <c r="D73" s="17" t="inlineStr">
        <is>
          <t>마약수사1과</t>
        </is>
      </c>
      <c r="E73" s="16" t="inlineStr">
        <is>
          <t>4급</t>
        </is>
      </c>
      <c r="F73" s="6" t="inlineStr">
        <is>
          <t>시행규칙 §20②</t>
        </is>
      </c>
      <c r="G73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73" s="6" t="inlineStr">
        <is>
          <t>- 「마약류 관리에 관한 법률」 위반
- 「특정범죄 가중처벌 등에 관한 법률」 제11조
- 법 제2조제2호나목 사건 중 마약류 범죄</t>
        </is>
      </c>
      <c r="I73" s="6" t="inlineStr"/>
      <c r="J73" s="6" t="inlineStr">
        <is>
          <t>각 과 간 구체적 사무분장은 청장이 정합니다.</t>
        </is>
      </c>
    </row>
    <row r="74">
      <c r="A74" s="16" t="inlineStr">
        <is>
          <t>서울</t>
        </is>
      </c>
      <c r="B74" s="6" t="inlineStr">
        <is>
          <t>3차장 소관</t>
        </is>
      </c>
      <c r="C74" s="6" t="inlineStr">
        <is>
          <t>마약수사국</t>
        </is>
      </c>
      <c r="D74" s="17" t="inlineStr">
        <is>
          <t>마약수사2과</t>
        </is>
      </c>
      <c r="E74" s="16" t="inlineStr">
        <is>
          <t>4급</t>
        </is>
      </c>
      <c r="F74" s="6" t="inlineStr">
        <is>
          <t>시행규칙 §20②</t>
        </is>
      </c>
      <c r="G74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74" s="6" t="inlineStr">
        <is>
          <t>- 「마약류 관리에 관한 법률」 위반
- 「특정범죄 가중처벌 등에 관한 법률」 제11조
- 법 제2조제2호나목 사건 중 마약류 범죄</t>
        </is>
      </c>
      <c r="I74" s="6" t="inlineStr"/>
      <c r="J74" s="6" t="inlineStr">
        <is>
          <t>각 과 간 구체적 사무분장은 청장이 정합니다.</t>
        </is>
      </c>
    </row>
    <row r="75">
      <c r="A75" s="16" t="inlineStr">
        <is>
          <t>서울</t>
        </is>
      </c>
      <c r="B75" s="6" t="inlineStr">
        <is>
          <t>3차장 소관</t>
        </is>
      </c>
      <c r="C75" s="6" t="inlineStr">
        <is>
          <t>마약수사국</t>
        </is>
      </c>
      <c r="D75" s="17" t="inlineStr">
        <is>
          <t>마약수사3과</t>
        </is>
      </c>
      <c r="E75" s="16" t="inlineStr">
        <is>
          <t>4급</t>
        </is>
      </c>
      <c r="F75" s="6" t="inlineStr">
        <is>
          <t>시행규칙 §20②</t>
        </is>
      </c>
      <c r="G75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75" s="6" t="inlineStr">
        <is>
          <t>- 「마약류 관리에 관한 법률」 위반
- 「특정범죄 가중처벌 등에 관한 법률」 제11조
- 법 제2조제2호나목 사건 중 마약류 범죄</t>
        </is>
      </c>
      <c r="I75" s="6" t="inlineStr"/>
      <c r="J75" s="6" t="inlineStr">
        <is>
          <t>각 과 간 구체적 사무분장은 청장이 정합니다.</t>
        </is>
      </c>
    </row>
    <row r="76">
      <c r="A76" s="16" t="inlineStr">
        <is>
          <t>서울</t>
        </is>
      </c>
      <c r="B76" s="6" t="inlineStr">
        <is>
          <t>3차장 소관</t>
        </is>
      </c>
      <c r="C76" s="6" t="inlineStr">
        <is>
          <t>마약수사국</t>
        </is>
      </c>
      <c r="D76" s="17" t="inlineStr">
        <is>
          <t>마약수사4과</t>
        </is>
      </c>
      <c r="E76" s="16" t="inlineStr">
        <is>
          <t>4급</t>
        </is>
      </c>
      <c r="F76" s="6" t="inlineStr">
        <is>
          <t>시행규칙 §20②</t>
        </is>
      </c>
      <c r="G76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76" s="6" t="inlineStr">
        <is>
          <t>- 「마약류 관리에 관한 법률」 위반
- 「특정범죄 가중처벌 등에 관한 법률」 제11조
- 법 제2조제2호나목 사건 중 마약류 범죄</t>
        </is>
      </c>
      <c r="I76" s="6" t="inlineStr"/>
      <c r="J76" s="6" t="inlineStr">
        <is>
          <t>각 과 간 구체적 사무분장은 청장이 정합니다.</t>
        </is>
      </c>
    </row>
    <row r="77">
      <c r="A77" s="16" t="inlineStr">
        <is>
          <t>서울</t>
        </is>
      </c>
      <c r="B77" s="6" t="inlineStr">
        <is>
          <t>3차장 소관</t>
        </is>
      </c>
      <c r="C77" s="6" t="inlineStr"/>
      <c r="D77" s="17" t="inlineStr">
        <is>
          <t>첨단수사국</t>
        </is>
      </c>
      <c r="E77" s="16" t="inlineStr">
        <is>
          <t>3급</t>
        </is>
      </c>
      <c r="F77" s="6" t="inlineStr">
        <is>
          <t>직제 §30</t>
        </is>
      </c>
      <c r="G77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77" s="6" t="inlineStr">
        <is>
          <t>- 방위사업·군사기밀범죄, 사이버·산업기술범죄, 보이스피싱범죄사건</t>
        </is>
      </c>
      <c r="I77" s="6" t="inlineStr"/>
      <c r="J77" s="6" t="inlineStr"/>
    </row>
    <row r="78">
      <c r="A78" s="16" t="inlineStr">
        <is>
          <t>서울</t>
        </is>
      </c>
      <c r="B78" s="6" t="inlineStr">
        <is>
          <t>3차장 소관</t>
        </is>
      </c>
      <c r="C78" s="6" t="inlineStr">
        <is>
          <t>첨단수사국</t>
        </is>
      </c>
      <c r="D78" s="17" t="inlineStr">
        <is>
          <t>방위사업·산업기술수사과</t>
        </is>
      </c>
      <c r="E78" s="16" t="inlineStr">
        <is>
          <t>4급</t>
        </is>
      </c>
      <c r="F78" s="6" t="inlineStr">
        <is>
          <t>시행규칙 §21②</t>
        </is>
      </c>
      <c r="G78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78" s="6" t="inlineStr">
        <is>
          <t>- 「방위산업기술 보호법」·「군사기밀 보호법」 위반
- 「산업기술의 유출방지 및 보호에 관한 법률」 제36조~제38조, 「부정경쟁방지 및 영업비밀보호에 관한 법률」 제18조~제18조의4
- 법 제2조제2호나목 사건 중 방산·군사기밀·산업기술범죄</t>
        </is>
      </c>
      <c r="I78" s="6" t="inlineStr">
        <is>
          <t>전산·방송통신 6급(2)·7급(3)·8급(3)·9급(2)</t>
        </is>
      </c>
      <c r="J78" s="6" t="inlineStr"/>
    </row>
    <row r="79">
      <c r="A79" s="16" t="inlineStr">
        <is>
          <t>서울</t>
        </is>
      </c>
      <c r="B79" s="6" t="inlineStr">
        <is>
          <t>3차장 소관</t>
        </is>
      </c>
      <c r="C79" s="6" t="inlineStr">
        <is>
          <t>첨단수사국</t>
        </is>
      </c>
      <c r="D79" s="17" t="inlineStr">
        <is>
          <t>사이버정보수사과</t>
        </is>
      </c>
      <c r="E79" s="16" t="inlineStr">
        <is>
          <t>4급</t>
        </is>
      </c>
      <c r="F79" s="6" t="inlineStr">
        <is>
          <t>시행규칙 §21③</t>
        </is>
      </c>
      <c r="G79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79" s="6" t="inlineStr">
        <is>
          <t>- 정보통신망법 제71조제1항제11호~제14호·제2항, 형법 제356조, 특경법 제3조 중 기술유출 등 국가핵심기반 공격 사이버범죄
- 법 제2조제2호나목 사건 중 사이버범죄</t>
        </is>
      </c>
      <c r="I79" s="6" t="inlineStr">
        <is>
          <t>전산·방송통신 6급(1)·7급(2)·8급(2)·9급(1)</t>
        </is>
      </c>
      <c r="J79" s="6" t="inlineStr"/>
    </row>
    <row r="80">
      <c r="A80" s="16" t="inlineStr">
        <is>
          <t>서울</t>
        </is>
      </c>
      <c r="B80" s="6" t="inlineStr">
        <is>
          <t>3차장 소관</t>
        </is>
      </c>
      <c r="C80" s="6" t="inlineStr">
        <is>
          <t>첨단수사국</t>
        </is>
      </c>
      <c r="D80" s="17" t="inlineStr">
        <is>
          <t>보이스피싱범죄합동수사과</t>
        </is>
      </c>
      <c r="E80" s="16" t="inlineStr">
        <is>
          <t>4급</t>
        </is>
      </c>
      <c r="F80" s="6" t="inlineStr">
        <is>
          <t>시행규칙 §21④</t>
        </is>
      </c>
      <c r="G80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80" s="6" t="inlineStr">
        <is>
          <t>- 「전기통신금융사기 피해 방지 및 피해자산 환급에 관한 특별법」·「전자금융거래법」 위반
- 「형법」 제114조의 범죄
- 법 제2조제2호나목 사건 중 보이스피싱범죄</t>
        </is>
      </c>
      <c r="I80" s="6" t="inlineStr"/>
      <c r="J80" s="6" t="inlineStr"/>
    </row>
    <row r="81">
      <c r="A81" s="16" t="inlineStr">
        <is>
          <t>수원</t>
        </is>
      </c>
      <c r="B81" s="6" t="inlineStr">
        <is>
          <t>지휘부</t>
        </is>
      </c>
      <c r="C81" s="6" t="inlineStr"/>
      <c r="D81" s="17" t="inlineStr">
        <is>
          <t>수원지방중대범죄수사청장</t>
        </is>
      </c>
      <c r="E81" s="16" t="inlineStr">
        <is>
          <t>1급</t>
        </is>
      </c>
      <c r="F81" s="6" t="inlineStr">
        <is>
          <t>직제 §20</t>
        </is>
      </c>
      <c r="G81" s="6" t="inlineStr">
        <is>
          <t>1. 지방청의 사무를 맡아 처리하고 소속 직원을 지휘·감독 (법 §11②)
2. 중수청 소관사무를 관할구역별로 분장하여 수행 (직제 §18)</t>
        </is>
      </c>
      <c r="H81" s="6" t="inlineStr"/>
      <c r="I81" s="6" t="inlineStr"/>
      <c r="J81" s="6" t="inlineStr"/>
    </row>
    <row r="82">
      <c r="A82" s="16" t="inlineStr">
        <is>
          <t>수원</t>
        </is>
      </c>
      <c r="B82" s="6" t="inlineStr">
        <is>
          <t>지휘부</t>
        </is>
      </c>
      <c r="C82" s="6" t="inlineStr">
        <is>
          <t>수원지방중대범죄수사청장</t>
        </is>
      </c>
      <c r="D82" s="17" t="inlineStr">
        <is>
          <t>차장</t>
        </is>
      </c>
      <c r="E82" s="16" t="inlineStr">
        <is>
          <t>2급</t>
        </is>
      </c>
      <c r="F82" s="6" t="inlineStr">
        <is>
          <t>직제 §21</t>
        </is>
      </c>
      <c r="G82" s="6" t="inlineStr">
        <is>
          <t>1. 지방청장을 보좌하고, 부득이한 사유로 청장이 직무를 수행할 수 없을 때 직무 대리 (법 §11④)</t>
        </is>
      </c>
      <c r="H82" s="6" t="inlineStr"/>
      <c r="I82" s="6" t="inlineStr"/>
      <c r="J82" s="6" t="inlineStr"/>
    </row>
    <row r="83">
      <c r="A83" s="16" t="inlineStr">
        <is>
          <t>수원</t>
        </is>
      </c>
      <c r="B83" s="6" t="inlineStr">
        <is>
          <t>청장 밑 담당관</t>
        </is>
      </c>
      <c r="C83" s="6" t="inlineStr"/>
      <c r="D83" s="17" t="inlineStr">
        <is>
          <t>수사심의담당관</t>
        </is>
      </c>
      <c r="E83" s="16" t="inlineStr">
        <is>
          <t>4급</t>
        </is>
      </c>
      <c r="F83" s="6" t="inlineStr">
        <is>
          <t>시행규칙 §11 (§22에서 준용)</t>
        </is>
      </c>
      <c r="G83" s="6" t="inlineStr">
        <is>
          <t>1. 법 제44조에 따른 수사심의
2. 구체적 사건 수사의 지휘·감독 적법성·정당성에 대한 이의제기 심의
3. 법 제47조에 따른 손실보상
4. 소송사무</t>
        </is>
      </c>
      <c r="H83" s="6" t="inlineStr"/>
      <c r="I83" s="6" t="inlineStr"/>
      <c r="J83" s="6" t="inlineStr"/>
    </row>
    <row r="84">
      <c r="A84" s="16" t="inlineStr">
        <is>
          <t>수원</t>
        </is>
      </c>
      <c r="B84" s="6" t="inlineStr">
        <is>
          <t>청장 밑 담당관</t>
        </is>
      </c>
      <c r="C84" s="6" t="inlineStr"/>
      <c r="D84" s="17" t="inlineStr">
        <is>
          <t>인권보호담당관</t>
        </is>
      </c>
      <c r="E84" s="16" t="inlineStr">
        <is>
          <t>4급</t>
        </is>
      </c>
      <c r="F84" s="6" t="inlineStr">
        <is>
          <t>시행규칙 §12 (§22에서 준용)</t>
        </is>
      </c>
      <c r="G84" s="6" t="inlineStr">
        <is>
          <t>1. 인권침해 예방·감독
2. 소속 공무원 인권침해 사건 처리
3. 범죄피해자 보호·지원
4. 양성평등 및 성희롱·성폭력 예방
5. 소속 공무원의 양성평등 침해 및 성희롱·성폭력 사건 처리
6. 소속 공무원의 비위 조사
7. 비위 정보수집·관리 및 진정, 내사사건의 조사·처리</t>
        </is>
      </c>
      <c r="H84" s="6" t="inlineStr"/>
      <c r="I84" s="6" t="inlineStr"/>
      <c r="J84" s="6" t="inlineStr"/>
    </row>
    <row r="85">
      <c r="A85" s="16" t="inlineStr">
        <is>
          <t>수원</t>
        </is>
      </c>
      <c r="B85" s="6" t="inlineStr">
        <is>
          <t>청장 밑 담당관</t>
        </is>
      </c>
      <c r="C85" s="6" t="inlineStr"/>
      <c r="D85" s="17" t="inlineStr">
        <is>
          <t>기획공보담당관</t>
        </is>
      </c>
      <c r="E85" s="16" t="inlineStr">
        <is>
          <t>4급</t>
        </is>
      </c>
      <c r="F85" s="6" t="inlineStr">
        <is>
          <t>시행규칙 §13 (§22에서 준용)</t>
        </is>
      </c>
      <c r="G85" s="6" t="inlineStr">
        <is>
          <t>1. 기본운영계획 수립 및 심사분석
2. 주요 업무계획 수립·총괄·조정 및 각종 지시
3. 중수청 소관 법령
4. 국정감사 등 국회 관련 사항
5. 사무감사
6. 청 업무의 대외 공표
7. 청의 홍보기획
8. 보도자료 관리·분석, 오보·왜곡보도 대응
9. 언론취재 지원 및 협조</t>
        </is>
      </c>
      <c r="H85" s="6" t="inlineStr"/>
      <c r="I85" s="6" t="inlineStr"/>
      <c r="J85" s="6" t="inlineStr"/>
    </row>
    <row r="86">
      <c r="A86" s="16" t="inlineStr">
        <is>
          <t>수원</t>
        </is>
      </c>
      <c r="B86" s="6" t="inlineStr">
        <is>
          <t>청장 밑 담당관</t>
        </is>
      </c>
      <c r="C86" s="6" t="inlineStr"/>
      <c r="D86" s="17" t="inlineStr">
        <is>
          <t>수사정보담당관</t>
        </is>
      </c>
      <c r="E86" s="16" t="inlineStr">
        <is>
          <t>4급</t>
        </is>
      </c>
      <c r="F86" s="6" t="inlineStr">
        <is>
          <t>시행규칙 §14 (§22에서 준용)</t>
        </is>
      </c>
      <c r="G86" s="6" t="inlineStr">
        <is>
          <t>1. 중수청 직무에 속하는 범죄 관련 정보·자료의 수집·분석·관리
2. 청장이 지정하는 중대범죄등 관련 정보
3. 제1호·제2호 업무와 관련된 사항</t>
        </is>
      </c>
      <c r="H86" s="6" t="inlineStr"/>
      <c r="I86" s="6" t="inlineStr"/>
      <c r="J86" s="6" t="inlineStr"/>
    </row>
    <row r="87">
      <c r="A87" s="16" t="inlineStr">
        <is>
          <t>수원</t>
        </is>
      </c>
      <c r="B87" s="6" t="inlineStr">
        <is>
          <t>수사 부서</t>
        </is>
      </c>
      <c r="C87" s="6" t="inlineStr"/>
      <c r="D87" s="17" t="inlineStr">
        <is>
          <t>경제범죄수사국</t>
        </is>
      </c>
      <c r="E87" s="16" t="inlineStr">
        <is>
          <t>3급</t>
        </is>
      </c>
      <c r="F87" s="6" t="inlineStr">
        <is>
          <t>직제 §32</t>
        </is>
      </c>
      <c r="G87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87" s="6" t="inlineStr">
        <is>
          <t>- 경제·금융·공정거래·기업·조세·가상자산·보이스피싱·재산국외도피·범죄수익은닉범죄사건
- 범죄수익추적·환수를 위한 수사</t>
        </is>
      </c>
      <c r="I87" s="6" t="inlineStr"/>
      <c r="J87" s="6" t="inlineStr"/>
    </row>
    <row r="88">
      <c r="A88" s="16" t="inlineStr">
        <is>
          <t>수원</t>
        </is>
      </c>
      <c r="B88" s="6" t="inlineStr">
        <is>
          <t>수사 부서</t>
        </is>
      </c>
      <c r="C88" s="6" t="inlineStr">
        <is>
          <t>경제범죄수사국</t>
        </is>
      </c>
      <c r="D88" s="17" t="inlineStr">
        <is>
          <t>중대경제범죄수사과</t>
        </is>
      </c>
      <c r="E88" s="16" t="inlineStr">
        <is>
          <t>4급</t>
        </is>
      </c>
      <c r="F88" s="6" t="inlineStr">
        <is>
          <t>시행규칙 §23②</t>
        </is>
      </c>
      <c r="G88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88" s="6" t="inlineStr">
        <is>
          <t>- 「형법」 제2편 제39장(사기·공갈)·제40장(횡령·배임)의 범죄
- 「특정범죄 가중처벌 등에 관한 법률」 제6조·제8조·제8조의2
- 「특정경제범죄 가중처벌 등에 관한 법률」 제3조, 제5조~제9조
- 「전기통신금융사기 피해 방지 및 피해자산 환급에 관한 특별법」·「전자금융거래법」 위반
- 「형법」 제114조의 범죄
- 법 제2조제2호나목 사건 중 경제·조세·보이스피싱범죄</t>
        </is>
      </c>
      <c r="I88" s="6" t="inlineStr"/>
      <c r="J88" s="6" t="inlineStr"/>
    </row>
    <row r="89">
      <c r="A89" s="16" t="inlineStr">
        <is>
          <t>수원</t>
        </is>
      </c>
      <c r="B89" s="6" t="inlineStr">
        <is>
          <t>수사 부서</t>
        </is>
      </c>
      <c r="C89" s="6" t="inlineStr">
        <is>
          <t>경제범죄수사국</t>
        </is>
      </c>
      <c r="D89" s="17" t="inlineStr">
        <is>
          <t>금융범죄수사과</t>
        </is>
      </c>
      <c r="E89" s="16" t="inlineStr">
        <is>
          <t>4급</t>
        </is>
      </c>
      <c r="F89" s="6" t="inlineStr">
        <is>
          <t>시행규칙 §23③</t>
        </is>
      </c>
      <c r="G89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89" s="6" t="inlineStr">
        <is>
          <t>- 「자본시장과 금융투자업에 관한 법률」 위반
- 「가상자산 이용자 보호 등에 관한 법률」 위반
- 법 제2조제2호나목 사건 중 금융·가상자산범죄</t>
        </is>
      </c>
      <c r="I89" s="6" t="inlineStr"/>
      <c r="J89" s="6" t="inlineStr"/>
    </row>
    <row r="90">
      <c r="A90" s="16" t="inlineStr">
        <is>
          <t>수원</t>
        </is>
      </c>
      <c r="B90" s="6" t="inlineStr">
        <is>
          <t>수사 부서</t>
        </is>
      </c>
      <c r="C90" s="6" t="inlineStr">
        <is>
          <t>경제범죄수사국</t>
        </is>
      </c>
      <c r="D90" s="17" t="inlineStr">
        <is>
          <t>반독점수사과</t>
        </is>
      </c>
      <c r="E90" s="16" t="inlineStr">
        <is>
          <t>4급</t>
        </is>
      </c>
      <c r="F90" s="6" t="inlineStr">
        <is>
          <t>시행규칙 §23④</t>
        </is>
      </c>
      <c r="G90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90" s="6" t="inlineStr">
        <is>
          <t>- 「독점규제 및 공정거래에 관한 법률」 제124조·제125조
- 법 제2조제2호나목 사건 중 공정거래·기업범죄</t>
        </is>
      </c>
      <c r="I90" s="6" t="inlineStr"/>
      <c r="J90" s="6" t="inlineStr"/>
    </row>
    <row r="91">
      <c r="A91" s="16" t="inlineStr">
        <is>
          <t>수원</t>
        </is>
      </c>
      <c r="B91" s="6" t="inlineStr">
        <is>
          <t>수사 부서</t>
        </is>
      </c>
      <c r="C91" s="6" t="inlineStr">
        <is>
          <t>경제범죄수사국</t>
        </is>
      </c>
      <c r="D91" s="17" t="inlineStr">
        <is>
          <t>범죄수익수사과</t>
        </is>
      </c>
      <c r="E91" s="16" t="inlineStr">
        <is>
          <t>4급</t>
        </is>
      </c>
      <c r="F91" s="6" t="inlineStr">
        <is>
          <t>시행규칙 §23⑤</t>
        </is>
      </c>
      <c r="G91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91" s="6" t="inlineStr">
        <is>
          <t>- 「특정경제범죄 가중처벌 등에 관한 법률」 제4조(재산국외도피)
- 법 제2조제1호바목(범죄수익은닉규제법 제3조·제4조) 범죄
- 법 제2조제2호나목 사건 중 재산국외도피·범죄수익은닉범죄
- 범죄수익의 추적 및 환수 지원</t>
        </is>
      </c>
      <c r="I91" s="6" t="inlineStr"/>
      <c r="J91" s="6" t="inlineStr"/>
    </row>
    <row r="92">
      <c r="A92" s="16" t="inlineStr">
        <is>
          <t>수원</t>
        </is>
      </c>
      <c r="B92" s="6" t="inlineStr">
        <is>
          <t>수사 부서</t>
        </is>
      </c>
      <c r="C92" s="6" t="inlineStr"/>
      <c r="D92" s="17" t="inlineStr">
        <is>
          <t>반부패수사국</t>
        </is>
      </c>
      <c r="E92" s="16" t="inlineStr">
        <is>
          <t>3급</t>
        </is>
      </c>
      <c r="F92" s="6" t="inlineStr">
        <is>
          <t>직제 §33</t>
        </is>
      </c>
      <c r="G92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92" s="6" t="inlineStr">
        <is>
          <t>- 부패범죄, 공무원 범죄, 마약류·공공안전·정치자금·방위사업·군사기밀·사이버·산업기술범죄사건
- 보완수사 요구 사건(형소법 §197의2⑧), 재수사 요구 사건(§245의8⑨)</t>
        </is>
      </c>
      <c r="I92" s="6" t="inlineStr"/>
      <c r="J92" s="6" t="inlineStr"/>
    </row>
    <row r="93">
      <c r="A93" s="16" t="inlineStr">
        <is>
          <t>수원</t>
        </is>
      </c>
      <c r="B93" s="6" t="inlineStr">
        <is>
          <t>수사 부서</t>
        </is>
      </c>
      <c r="C93" s="6" t="inlineStr">
        <is>
          <t>반부패수사국</t>
        </is>
      </c>
      <c r="D93" s="17" t="inlineStr">
        <is>
          <t>반부패수사1과</t>
        </is>
      </c>
      <c r="E93" s="16" t="inlineStr">
        <is>
          <t>4급</t>
        </is>
      </c>
      <c r="F93" s="6" t="inlineStr">
        <is>
          <t>시행규칙 §24②</t>
        </is>
      </c>
      <c r="G93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93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
- 「형법」 제2편 제1장(내란)·제2장(외환)의 죄, 제128조
- 「정치자금법」 제45조
- 「국가정보원법」 제21조·제22조
- 「국회에서의 증언·감정 등에 관한 법률」 제14조제1항</t>
        </is>
      </c>
      <c r="I93" s="6" t="inlineStr"/>
      <c r="J93" s="6" t="inlineStr">
        <is>
          <t>1과·2과 간 사무분장은 청장이 정합니다.</t>
        </is>
      </c>
    </row>
    <row r="94">
      <c r="A94" s="16" t="inlineStr">
        <is>
          <t>수원</t>
        </is>
      </c>
      <c r="B94" s="6" t="inlineStr">
        <is>
          <t>수사 부서</t>
        </is>
      </c>
      <c r="C94" s="6" t="inlineStr">
        <is>
          <t>반부패수사국</t>
        </is>
      </c>
      <c r="D94" s="17" t="inlineStr">
        <is>
          <t>반부패수사2과</t>
        </is>
      </c>
      <c r="E94" s="16" t="inlineStr">
        <is>
          <t>4급</t>
        </is>
      </c>
      <c r="F94" s="6" t="inlineStr">
        <is>
          <t>시행규칙 §24②</t>
        </is>
      </c>
      <c r="G94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94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
- 「형법」 제2편 제1장(내란)·제2장(외환)의 죄, 제128조
- 「정치자금법」 제45조
- 「국가정보원법」 제21조·제22조
- 「국회에서의 증언·감정 등에 관한 법률」 제14조제1항
- 「형사소송법」 제197조의2제8항 보완수사 요구 사건
- 「형사소송법」 제245조의8제9항 재수사 요구 사건</t>
        </is>
      </c>
      <c r="I94" s="6" t="inlineStr"/>
      <c r="J94" s="6" t="inlineStr">
        <is>
          <t>보완수사·재수사 요구 사건(§24②1호 나목)은 2과가 수행합니다.</t>
        </is>
      </c>
    </row>
    <row r="95">
      <c r="A95" s="16" t="inlineStr">
        <is>
          <t>수원</t>
        </is>
      </c>
      <c r="B95" s="6" t="inlineStr">
        <is>
          <t>수사 부서</t>
        </is>
      </c>
      <c r="C95" s="6" t="inlineStr">
        <is>
          <t>반부패수사국</t>
        </is>
      </c>
      <c r="D95" s="17" t="inlineStr">
        <is>
          <t>마약합동수사과</t>
        </is>
      </c>
      <c r="E95" s="16" t="inlineStr">
        <is>
          <t>4급</t>
        </is>
      </c>
      <c r="F95" s="6" t="inlineStr">
        <is>
          <t>시행규칙 §24③</t>
        </is>
      </c>
      <c r="G95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95" s="6" t="inlineStr">
        <is>
          <t>- 「마약류 관리에 관한 법률」 위반
- 「특정범죄 가중처벌 등에 관한 법률」 제11조
- 법 제2조제2호나목 사건 중 마약류 범죄</t>
        </is>
      </c>
      <c r="I95" s="6" t="inlineStr"/>
      <c r="J95" s="6" t="inlineStr"/>
    </row>
    <row r="96">
      <c r="A96" s="16" t="inlineStr">
        <is>
          <t>수원</t>
        </is>
      </c>
      <c r="B96" s="6" t="inlineStr">
        <is>
          <t>수사 부서</t>
        </is>
      </c>
      <c r="C96" s="6" t="inlineStr">
        <is>
          <t>반부패수사국</t>
        </is>
      </c>
      <c r="D96" s="17" t="inlineStr">
        <is>
          <t>방위사업·산업기술수사과</t>
        </is>
      </c>
      <c r="E96" s="16" t="inlineStr">
        <is>
          <t>4급</t>
        </is>
      </c>
      <c r="F96" s="6" t="inlineStr">
        <is>
          <t>시행규칙 §24④</t>
        </is>
      </c>
      <c r="G96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96" s="6" t="inlineStr">
        <is>
          <t>- 「방위산업기술 보호법」·「군사기밀 보호법」 위반
- 「산업기술의 유출방지 및 보호에 관한 법률」 제36조~제38조, 「부정경쟁방지 및 영업비밀보호에 관한 법률」 제18조~제18조의4
- 정보통신망법 제71조제1항제11호~제14호·제2항, 형법 제356조, 특경법 제3조 중 기술유출 등 국가핵심기반 공격 사이버범죄
- 법 제2조제2호나목 사건 중 사이버·산업기술범죄</t>
        </is>
      </c>
      <c r="I96" s="6" t="inlineStr"/>
      <c r="J96" s="6" t="inlineStr"/>
    </row>
    <row r="97">
      <c r="A97" s="16" t="inlineStr">
        <is>
          <t>수원</t>
        </is>
      </c>
      <c r="B97" s="6" t="inlineStr">
        <is>
          <t>사무국</t>
        </is>
      </c>
      <c r="C97" s="6" t="inlineStr"/>
      <c r="D97" s="17" t="inlineStr">
        <is>
          <t>사무국</t>
        </is>
      </c>
      <c r="E97" s="16" t="inlineStr">
        <is>
          <t>3급</t>
        </is>
      </c>
      <c r="F97" s="6" t="inlineStr">
        <is>
          <t>직제 §34</t>
        </is>
      </c>
      <c r="G97" s="6" t="inlineStr">
        <is>
          <t>1. 보안 및 청사관리
2. 관인 및 관인대장 관리
3. 문서 접수·발송·보존·관리 및 기록관 운영
4. 소속 공무원 임용·교육훈련 등 인사관리
5. 복무·연금·급여 및 복리후생
6. 예산운영·회계 및 결산
7. 물품구매·조달 및 물품관리
8. 중대산업재해 관련 안전·보건
9. 차량 유지·운영
10. 전산장비·자료 및 통신기기 운영·관리
11. 사건의 접수 및 처리
12. 압수금품 접수·처리 및 보관·관리
13. 사건기록 보존 및 관리
14. 청장이 명하는 범죄사건의 수사지원
15. 정보처리장치·정보통신매체 증거자료 압수·수색 및 분석
16. 그 밖에 청 내 다른 부서의 주관에 속하지 않는 사항</t>
        </is>
      </c>
      <c r="H97" s="6" t="inlineStr"/>
      <c r="I97" s="6" t="inlineStr">
        <is>
          <t>총무과: 전산·방송통신 7급(1)·8급(1) / 시설 7급(1)·8급(1)·9급(1) / 운전 8급(2)·9급(4) / 방호 8급(2)·9급(2) / 기록연구사(1)</t>
        </is>
      </c>
      <c r="J97" s="6" t="inlineStr"/>
    </row>
    <row r="98">
      <c r="A98" s="16" t="inlineStr">
        <is>
          <t>수원</t>
        </is>
      </c>
      <c r="B98" s="6" t="inlineStr">
        <is>
          <t>사무국</t>
        </is>
      </c>
      <c r="C98" s="6" t="inlineStr">
        <is>
          <t>사무국</t>
        </is>
      </c>
      <c r="D98" s="17" t="inlineStr">
        <is>
          <t>총무과</t>
        </is>
      </c>
      <c r="E98" s="16" t="inlineStr">
        <is>
          <t>4급</t>
        </is>
      </c>
      <c r="F98" s="6" t="inlineStr">
        <is>
          <t>시행규칙 §25 (§15 준용)</t>
        </is>
      </c>
      <c r="G98" s="6" t="inlineStr">
        <is>
          <t>1. 보안, 관인 및 관인대장 관리
2. 기록물 정리·분류·접수·발송·보존·이관·폐기·활용, 기록관 및 기록관리시스템 운영
3. 소속 공무원의 임용·교육훈련 등 인사관리
4. 복무·연금·급여 및 복리후생
5. 예산운영·회계 및 결산
6. 물품 관리 및 물품·용역·공사 계약
7. 차량 유지·운영
8. 민원, 국민신문고 및 정보공개제도 운영
9. 전산장비·자료 및 통신기기 운영·관리
10. 그 밖에 국 내 다른 과의 주관에 속하지 않는 사항</t>
        </is>
      </c>
      <c r="H98" s="6" t="inlineStr"/>
      <c r="I98" s="6" t="inlineStr"/>
      <c r="J98" s="6" t="inlineStr"/>
    </row>
    <row r="99">
      <c r="A99" s="16" t="inlineStr">
        <is>
          <t>수원</t>
        </is>
      </c>
      <c r="B99" s="6" t="inlineStr">
        <is>
          <t>사무국</t>
        </is>
      </c>
      <c r="C99" s="6" t="inlineStr">
        <is>
          <t>사무국</t>
        </is>
      </c>
      <c r="D99" s="17" t="inlineStr">
        <is>
          <t>사건과</t>
        </is>
      </c>
      <c r="E99" s="16" t="inlineStr">
        <is>
          <t>4급</t>
        </is>
      </c>
      <c r="F99" s="6" t="inlineStr">
        <is>
          <t>시행규칙 §25 (§15 준용)</t>
        </is>
      </c>
      <c r="G99" s="6" t="inlineStr">
        <is>
          <t>1. 사건의 접수 및 처리
2. 영장
3. 청 소관 사건사무 및 정보보고
4. 진정·탄원·제보 등으로 내사사건 등록된 사건 처리
5. 사건통계
6. 경찰 등 다른 수사기관의 통보사건 접수 및 처리
7. 압수금품의 접수 및 처리
8. 압수금품의 보관·관리
9. 사건기록의 보존·관리</t>
        </is>
      </c>
      <c r="H99" s="6" t="inlineStr"/>
      <c r="I99" s="6" t="inlineStr"/>
      <c r="J99" s="6" t="inlineStr"/>
    </row>
    <row r="100">
      <c r="A100" s="16" t="inlineStr">
        <is>
          <t>수원</t>
        </is>
      </c>
      <c r="B100" s="6" t="inlineStr">
        <is>
          <t>사무국</t>
        </is>
      </c>
      <c r="C100" s="6" t="inlineStr">
        <is>
          <t>사무국</t>
        </is>
      </c>
      <c r="D100" s="17" t="inlineStr">
        <is>
          <t>수사지원과</t>
        </is>
      </c>
      <c r="E100" s="16" t="inlineStr">
        <is>
          <t>4급</t>
        </is>
      </c>
      <c r="F100" s="6" t="inlineStr">
        <is>
          <t>시행규칙 §25 (§15 준용)</t>
        </is>
      </c>
      <c r="G100" s="6" t="inlineStr">
        <is>
          <t>1. 청장이 명하는 중대범죄등 사건의 수사지원
2. 소재수사, 호송 등 수사지원
3. 수사지원 중 발생하는 범죄사건의 수사지원</t>
        </is>
      </c>
      <c r="H100" s="6" t="inlineStr"/>
      <c r="I100" s="6" t="inlineStr"/>
      <c r="J100" s="6" t="inlineStr"/>
    </row>
    <row r="101">
      <c r="A101" s="16" t="inlineStr">
        <is>
          <t>수원</t>
        </is>
      </c>
      <c r="B101" s="6" t="inlineStr">
        <is>
          <t>사무국</t>
        </is>
      </c>
      <c r="C101" s="6" t="inlineStr">
        <is>
          <t>사무국</t>
        </is>
      </c>
      <c r="D101" s="17" t="inlineStr">
        <is>
          <t>과학수사지원과</t>
        </is>
      </c>
      <c r="E101" s="16" t="inlineStr">
        <is>
          <t>4급</t>
        </is>
      </c>
      <c r="F101" s="6" t="inlineStr">
        <is>
          <t>시행규칙 §25 (§15 준용)</t>
        </is>
      </c>
      <c r="G101" s="6" t="inlineStr">
        <is>
          <t>1. 컴퓨터 등 정보처리장치·정보통신매체 관련 증거자료의 압수·수색 및 분석
2. 과학수사장비 운영</t>
        </is>
      </c>
      <c r="H101" s="6" t="inlineStr"/>
      <c r="I101" s="6" t="inlineStr"/>
      <c r="J101" s="6" t="inlineStr"/>
    </row>
    <row r="102">
      <c r="A102" s="16" t="inlineStr">
        <is>
          <t>대전</t>
        </is>
      </c>
      <c r="B102" s="6" t="inlineStr">
        <is>
          <t>지휘부</t>
        </is>
      </c>
      <c r="C102" s="6" t="inlineStr"/>
      <c r="D102" s="17" t="inlineStr">
        <is>
          <t>대전지방중대범죄수사청장</t>
        </is>
      </c>
      <c r="E102" s="16" t="inlineStr">
        <is>
          <t>1급</t>
        </is>
      </c>
      <c r="F102" s="6" t="inlineStr">
        <is>
          <t>직제 §20</t>
        </is>
      </c>
      <c r="G102" s="6" t="inlineStr">
        <is>
          <t>1. 지방청의 사무를 맡아 처리하고 소속 직원을 지휘·감독 (법 §11②)
2. 중수청 소관사무를 관할구역별로 분장하여 수행 (직제 §18)</t>
        </is>
      </c>
      <c r="H102" s="6" t="inlineStr"/>
      <c r="I102" s="6" t="inlineStr"/>
      <c r="J102" s="6" t="inlineStr"/>
    </row>
    <row r="103">
      <c r="A103" s="16" t="inlineStr">
        <is>
          <t>대전</t>
        </is>
      </c>
      <c r="B103" s="6" t="inlineStr">
        <is>
          <t>지휘부</t>
        </is>
      </c>
      <c r="C103" s="6" t="inlineStr">
        <is>
          <t>대전지방중대범죄수사청장</t>
        </is>
      </c>
      <c r="D103" s="17" t="inlineStr">
        <is>
          <t>차장</t>
        </is>
      </c>
      <c r="E103" s="16" t="inlineStr">
        <is>
          <t>2급</t>
        </is>
      </c>
      <c r="F103" s="6" t="inlineStr">
        <is>
          <t>직제 §21</t>
        </is>
      </c>
      <c r="G103" s="6" t="inlineStr">
        <is>
          <t>1. 지방청장을 보좌하고, 부득이한 사유로 청장이 직무를 수행할 수 없을 때 직무 대리 (법 §11④)</t>
        </is>
      </c>
      <c r="H103" s="6" t="inlineStr"/>
      <c r="I103" s="6" t="inlineStr"/>
      <c r="J103" s="6" t="inlineStr"/>
    </row>
    <row r="104">
      <c r="A104" s="16" t="inlineStr">
        <is>
          <t>대전</t>
        </is>
      </c>
      <c r="B104" s="6" t="inlineStr">
        <is>
          <t>청장 밑 담당관</t>
        </is>
      </c>
      <c r="C104" s="6" t="inlineStr"/>
      <c r="D104" s="17" t="inlineStr">
        <is>
          <t>수사심의담당관</t>
        </is>
      </c>
      <c r="E104" s="16" t="inlineStr">
        <is>
          <t>4급</t>
        </is>
      </c>
      <c r="F104" s="6" t="inlineStr">
        <is>
          <t>시행규칙 §11 (§26에서 준용)</t>
        </is>
      </c>
      <c r="G104" s="6" t="inlineStr">
        <is>
          <t>1. 법 제44조에 따른 수사심의
2. 구체적 사건 수사의 지휘·감독 적법성·정당성에 대한 이의제기 심의
3. 법 제47조에 따른 손실보상
4. 소송사무</t>
        </is>
      </c>
      <c r="H104" s="6" t="inlineStr"/>
      <c r="I104" s="6" t="inlineStr"/>
      <c r="J104" s="6" t="inlineStr"/>
    </row>
    <row r="105">
      <c r="A105" s="16" t="inlineStr">
        <is>
          <t>대전</t>
        </is>
      </c>
      <c r="B105" s="6" t="inlineStr">
        <is>
          <t>청장 밑 담당관</t>
        </is>
      </c>
      <c r="C105" s="6" t="inlineStr"/>
      <c r="D105" s="17" t="inlineStr">
        <is>
          <t>인권보호담당관</t>
        </is>
      </c>
      <c r="E105" s="16" t="inlineStr">
        <is>
          <t>4급</t>
        </is>
      </c>
      <c r="F105" s="6" t="inlineStr">
        <is>
          <t>시행규칙 §12 (§26에서 준용)</t>
        </is>
      </c>
      <c r="G105" s="6" t="inlineStr">
        <is>
          <t>1. 인권침해 예방·감독
2. 소속 공무원 인권침해 사건 처리
3. 범죄피해자 보호·지원
4. 양성평등 및 성희롱·성폭력 예방
5. 소속 공무원의 양성평등 침해 및 성희롱·성폭력 사건 처리
6. 소속 공무원의 비위 조사
7. 비위 정보수집·관리 및 진정, 내사사건의 조사·처리</t>
        </is>
      </c>
      <c r="H105" s="6" t="inlineStr"/>
      <c r="I105" s="6" t="inlineStr"/>
      <c r="J105" s="6" t="inlineStr"/>
    </row>
    <row r="106">
      <c r="A106" s="16" t="inlineStr">
        <is>
          <t>대전</t>
        </is>
      </c>
      <c r="B106" s="6" t="inlineStr">
        <is>
          <t>청장 밑 담당관</t>
        </is>
      </c>
      <c r="C106" s="6" t="inlineStr"/>
      <c r="D106" s="17" t="inlineStr">
        <is>
          <t>기획공보담당관</t>
        </is>
      </c>
      <c r="E106" s="16" t="inlineStr">
        <is>
          <t>4급</t>
        </is>
      </c>
      <c r="F106" s="6" t="inlineStr">
        <is>
          <t>시행규칙 §13 (§26에서 준용)</t>
        </is>
      </c>
      <c r="G106" s="6" t="inlineStr">
        <is>
          <t>1. 기본운영계획 수립 및 심사분석
2. 주요 업무계획 수립·총괄·조정 및 각종 지시
3. 중수청 소관 법령
4. 국정감사 등 국회 관련 사항
5. 사무감사
6. 청 업무의 대외 공표
7. 청의 홍보기획
8. 보도자료 관리·분석, 오보·왜곡보도 대응
9. 언론취재 지원 및 협조</t>
        </is>
      </c>
      <c r="H106" s="6" t="inlineStr"/>
      <c r="I106" s="6" t="inlineStr"/>
      <c r="J106" s="6" t="inlineStr"/>
    </row>
    <row r="107">
      <c r="A107" s="16" t="inlineStr">
        <is>
          <t>대전</t>
        </is>
      </c>
      <c r="B107" s="6" t="inlineStr">
        <is>
          <t>청장 밑 담당관</t>
        </is>
      </c>
      <c r="C107" s="6" t="inlineStr"/>
      <c r="D107" s="17" t="inlineStr">
        <is>
          <t>수사정보담당관</t>
        </is>
      </c>
      <c r="E107" s="16" t="inlineStr">
        <is>
          <t>4급</t>
        </is>
      </c>
      <c r="F107" s="6" t="inlineStr">
        <is>
          <t>시행규칙 §14 (§26에서 준용)</t>
        </is>
      </c>
      <c r="G107" s="6" t="inlineStr">
        <is>
          <t>1. 중수청 직무에 속하는 범죄 관련 정보·자료의 수집·분석·관리
2. 청장이 지정하는 중대범죄등 관련 정보
3. 제1호·제2호 업무와 관련된 사항</t>
        </is>
      </c>
      <c r="H107" s="6" t="inlineStr"/>
      <c r="I107" s="6" t="inlineStr"/>
      <c r="J107" s="6" t="inlineStr"/>
    </row>
    <row r="108">
      <c r="A108" s="16" t="inlineStr">
        <is>
          <t>대전</t>
        </is>
      </c>
      <c r="B108" s="6" t="inlineStr">
        <is>
          <t>수사 부서</t>
        </is>
      </c>
      <c r="C108" s="6" t="inlineStr"/>
      <c r="D108" s="17" t="inlineStr">
        <is>
          <t>경제범죄수사국</t>
        </is>
      </c>
      <c r="E108" s="16" t="inlineStr">
        <is>
          <t>3급</t>
        </is>
      </c>
      <c r="F108" s="6" t="inlineStr">
        <is>
          <t>직제 §32</t>
        </is>
      </c>
      <c r="G108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08" s="6" t="inlineStr">
        <is>
          <t>- 경제·금융·공정거래·기업·조세·가상자산·보이스피싱·재산국외도피·범죄수익은닉범죄사건
- 범죄수익추적·환수를 위한 수사</t>
        </is>
      </c>
      <c r="I108" s="6" t="inlineStr"/>
      <c r="J108" s="6" t="inlineStr"/>
    </row>
    <row r="109">
      <c r="A109" s="16" t="inlineStr">
        <is>
          <t>대전</t>
        </is>
      </c>
      <c r="B109" s="6" t="inlineStr">
        <is>
          <t>수사 부서</t>
        </is>
      </c>
      <c r="C109" s="6" t="inlineStr">
        <is>
          <t>경제범죄수사국</t>
        </is>
      </c>
      <c r="D109" s="17" t="inlineStr">
        <is>
          <t>중대경제범죄수사과</t>
        </is>
      </c>
      <c r="E109" s="16" t="inlineStr">
        <is>
          <t>4급</t>
        </is>
      </c>
      <c r="F109" s="6" t="inlineStr">
        <is>
          <t>시행규칙 §27②</t>
        </is>
      </c>
      <c r="G109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109" s="6" t="inlineStr">
        <is>
          <t>- 「형법」 제2편 제39장(사기·공갈)·제40장(횡령·배임)의 범죄
- 「특정경제범죄 가중처벌 등에 관한 법률」 제3조, 제5조~제9조
- 「전기통신금융사기 피해 방지 및 피해자산 환급에 관한 특별법」·「전자금융거래법」 위반
- 「형법」 제114조의 범죄
- 「독점규제 및 공정거래에 관한 법률」 제124조·제125조
- 법 제2조제2호나목 사건 중 경제·보이스피싱·공정거래·기업범죄</t>
        </is>
      </c>
      <c r="I109" s="6" t="inlineStr"/>
      <c r="J109" s="6" t="inlineStr"/>
    </row>
    <row r="110">
      <c r="A110" s="16" t="inlineStr">
        <is>
          <t>대전</t>
        </is>
      </c>
      <c r="B110" s="6" t="inlineStr">
        <is>
          <t>수사 부서</t>
        </is>
      </c>
      <c r="C110" s="6" t="inlineStr">
        <is>
          <t>경제범죄수사국</t>
        </is>
      </c>
      <c r="D110" s="17" t="inlineStr">
        <is>
          <t>금융범죄수사과</t>
        </is>
      </c>
      <c r="E110" s="16" t="inlineStr">
        <is>
          <t>4급</t>
        </is>
      </c>
      <c r="F110" s="6" t="inlineStr">
        <is>
          <t>시행규칙 §27③</t>
        </is>
      </c>
      <c r="G110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10" s="6" t="inlineStr">
        <is>
          <t>- 「자본시장과 금융투자업에 관한 법률」 위반
- 「가상자산 이용자 보호 등에 관한 법률」 위반
- 법 제2조제2호나목 사건 중 금융·가상자산범죄</t>
        </is>
      </c>
      <c r="I110" s="6" t="inlineStr"/>
      <c r="J110" s="6" t="inlineStr"/>
    </row>
    <row r="111">
      <c r="A111" s="16" t="inlineStr">
        <is>
          <t>대전</t>
        </is>
      </c>
      <c r="B111" s="6" t="inlineStr">
        <is>
          <t>수사 부서</t>
        </is>
      </c>
      <c r="C111" s="6" t="inlineStr">
        <is>
          <t>경제범죄수사국</t>
        </is>
      </c>
      <c r="D111" s="17" t="inlineStr">
        <is>
          <t>국가재정범죄합동수사과</t>
        </is>
      </c>
      <c r="E111" s="16" t="inlineStr">
        <is>
          <t>4급</t>
        </is>
      </c>
      <c r="F111" s="6" t="inlineStr">
        <is>
          <t>시행규칙 §27④</t>
        </is>
      </c>
      <c r="G111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11" s="6" t="inlineStr">
        <is>
          <t>- 「특정범죄 가중처벌 등에 관한 법률」 제6조·제8조·제8조의2
- 법 제2조제2호나목 사건 중 조세범죄</t>
        </is>
      </c>
      <c r="I111" s="6" t="inlineStr"/>
      <c r="J111" s="6" t="inlineStr"/>
    </row>
    <row r="112">
      <c r="A112" s="16" t="inlineStr">
        <is>
          <t>대전</t>
        </is>
      </c>
      <c r="B112" s="6" t="inlineStr">
        <is>
          <t>수사 부서</t>
        </is>
      </c>
      <c r="C112" s="6" t="inlineStr">
        <is>
          <t>경제범죄수사국</t>
        </is>
      </c>
      <c r="D112" s="17" t="inlineStr">
        <is>
          <t>범죄수익수사과</t>
        </is>
      </c>
      <c r="E112" s="16" t="inlineStr">
        <is>
          <t>4급</t>
        </is>
      </c>
      <c r="F112" s="6" t="inlineStr">
        <is>
          <t>시행규칙 §27⑤</t>
        </is>
      </c>
      <c r="G112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12" s="6" t="inlineStr">
        <is>
          <t>- 「특정경제범죄 가중처벌 등에 관한 법률」 제4조(재산국외도피)
- 법 제2조제1호바목(범죄수익은닉규제법 제3조·제4조) 범죄
- 법 제2조제2호나목 사건 중 재산국외도피·범죄수익은닉범죄
- 범죄수익의 추적 및 환수 지원</t>
        </is>
      </c>
      <c r="I112" s="6" t="inlineStr"/>
      <c r="J112" s="6" t="inlineStr"/>
    </row>
    <row r="113">
      <c r="A113" s="16" t="inlineStr">
        <is>
          <t>대전</t>
        </is>
      </c>
      <c r="B113" s="6" t="inlineStr">
        <is>
          <t>수사 부서</t>
        </is>
      </c>
      <c r="C113" s="6" t="inlineStr"/>
      <c r="D113" s="17" t="inlineStr">
        <is>
          <t>반부패수사국</t>
        </is>
      </c>
      <c r="E113" s="16" t="inlineStr">
        <is>
          <t>3급</t>
        </is>
      </c>
      <c r="F113" s="6" t="inlineStr">
        <is>
          <t>직제 §33</t>
        </is>
      </c>
      <c r="G113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13" s="6" t="inlineStr">
        <is>
          <t>- 부패범죄, 공무원 범죄, 마약류·공공안전·정치자금·방위사업·군사기밀·사이버·산업기술범죄사건
- 보완수사 요구 사건(형소법 §197의2⑧), 재수사 요구 사건(§245의8⑨)</t>
        </is>
      </c>
      <c r="I113" s="6" t="inlineStr"/>
      <c r="J113" s="6" t="inlineStr"/>
    </row>
    <row r="114">
      <c r="A114" s="16" t="inlineStr">
        <is>
          <t>대전</t>
        </is>
      </c>
      <c r="B114" s="6" t="inlineStr">
        <is>
          <t>수사 부서</t>
        </is>
      </c>
      <c r="C114" s="6" t="inlineStr">
        <is>
          <t>반부패수사국</t>
        </is>
      </c>
      <c r="D114" s="17" t="inlineStr">
        <is>
          <t>반부패수사1과</t>
        </is>
      </c>
      <c r="E114" s="16" t="inlineStr">
        <is>
          <t>4급</t>
        </is>
      </c>
      <c r="F114" s="6" t="inlineStr">
        <is>
          <t>시행규칙 §28②</t>
        </is>
      </c>
      <c r="G114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114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</t>
        </is>
      </c>
      <c r="I114" s="6" t="inlineStr"/>
      <c r="J114" s="6" t="inlineStr">
        <is>
          <t>1과·2과 간 사무분장은 청장이 정합니다.</t>
        </is>
      </c>
    </row>
    <row r="115">
      <c r="A115" s="16" t="inlineStr">
        <is>
          <t>대전</t>
        </is>
      </c>
      <c r="B115" s="6" t="inlineStr">
        <is>
          <t>수사 부서</t>
        </is>
      </c>
      <c r="C115" s="6" t="inlineStr">
        <is>
          <t>반부패수사국</t>
        </is>
      </c>
      <c r="D115" s="17" t="inlineStr">
        <is>
          <t>반부패수사2과</t>
        </is>
      </c>
      <c r="E115" s="16" t="inlineStr">
        <is>
          <t>4급</t>
        </is>
      </c>
      <c r="F115" s="6" t="inlineStr">
        <is>
          <t>시행규칙 §28②</t>
        </is>
      </c>
      <c r="G115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15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
- 「형법」 제2편 제1장(내란)·제2장(외환)의 죄, 제128조
- 「정치자금법」 제45조
- 「국가정보원법」 제21조·제22조
- 「국회에서의 증언·감정 등에 관한 법률」 제14조제1항
- 「형사소송법」 제197조의2제8항 보완수사 요구 사건
- 「형사소송법」 제245조의8제9항 재수사 요구 사건</t>
        </is>
      </c>
      <c r="I115" s="6" t="inlineStr"/>
      <c r="J115" s="6" t="inlineStr">
        <is>
          <t>§28②1호 나목(공공안전·정치자금·국정원·국회위증, 보완수사·재수사 요구 사건)은 2과가 수행합니다.</t>
        </is>
      </c>
    </row>
    <row r="116">
      <c r="A116" s="16" t="inlineStr">
        <is>
          <t>대전</t>
        </is>
      </c>
      <c r="B116" s="6" t="inlineStr">
        <is>
          <t>수사 부서</t>
        </is>
      </c>
      <c r="C116" s="6" t="inlineStr">
        <is>
          <t>반부패수사국</t>
        </is>
      </c>
      <c r="D116" s="17" t="inlineStr">
        <is>
          <t>마약수사과</t>
        </is>
      </c>
      <c r="E116" s="16" t="inlineStr">
        <is>
          <t>4급</t>
        </is>
      </c>
      <c r="F116" s="6" t="inlineStr">
        <is>
          <t>시행규칙 §28③</t>
        </is>
      </c>
      <c r="G116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16" s="6" t="inlineStr">
        <is>
          <t>- 「마약류 관리에 관한 법률」 위반
- 「특정범죄 가중처벌 등에 관한 법률」 제11조
- 법 제2조제2호나목 사건 중 마약류 범죄</t>
        </is>
      </c>
      <c r="I116" s="6" t="inlineStr"/>
      <c r="J116" s="6" t="inlineStr"/>
    </row>
    <row r="117">
      <c r="A117" s="16" t="inlineStr">
        <is>
          <t>대전</t>
        </is>
      </c>
      <c r="B117" s="6" t="inlineStr">
        <is>
          <t>수사 부서</t>
        </is>
      </c>
      <c r="C117" s="6" t="inlineStr">
        <is>
          <t>반부패수사국</t>
        </is>
      </c>
      <c r="D117" s="17" t="inlineStr">
        <is>
          <t>산업기술수사과</t>
        </is>
      </c>
      <c r="E117" s="16" t="inlineStr">
        <is>
          <t>4급</t>
        </is>
      </c>
      <c r="F117" s="6" t="inlineStr">
        <is>
          <t>시행규칙 §28④</t>
        </is>
      </c>
      <c r="G117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17" s="6" t="inlineStr">
        <is>
          <t>- 「방위산업기술 보호법」·「군사기밀 보호법」 위반
- 「산업기술의 유출방지 및 보호에 관한 법률」 제36조~제38조, 「부정경쟁방지 및 영업비밀보호에 관한 법률」 제18조~제18조의4
- 정보통신망법 제71조제1항제11호~제14호·제2항, 형법 제356조, 특경법 제3조 중 기술유출 등 국가핵심기반 공격 사이버범죄
- 법 제2조제2호나목 사건 중 사이버·산업기술범죄</t>
        </is>
      </c>
      <c r="I117" s="6" t="inlineStr">
        <is>
          <t>전산·방송통신 6급(1)·7급(1)·9급(1)</t>
        </is>
      </c>
      <c r="J117" s="6" t="inlineStr"/>
    </row>
    <row r="118">
      <c r="A118" s="16" t="inlineStr">
        <is>
          <t>대전</t>
        </is>
      </c>
      <c r="B118" s="6" t="inlineStr">
        <is>
          <t>사무국</t>
        </is>
      </c>
      <c r="C118" s="6" t="inlineStr"/>
      <c r="D118" s="17" t="inlineStr">
        <is>
          <t>사무국</t>
        </is>
      </c>
      <c r="E118" s="16" t="inlineStr">
        <is>
          <t>3급</t>
        </is>
      </c>
      <c r="F118" s="6" t="inlineStr">
        <is>
          <t>직제 §34</t>
        </is>
      </c>
      <c r="G118" s="6" t="inlineStr">
        <is>
          <t>1. 보안 및 청사관리
2. 관인 및 관인대장 관리
3. 문서 접수·발송·보존·관리 및 기록관 운영
4. 소속 공무원 임용·교육훈련 등 인사관리
5. 복무·연금·급여 및 복리후생
6. 예산운영·회계 및 결산
7. 물품구매·조달 및 물품관리
8. 중대산업재해 관련 안전·보건
9. 차량 유지·운영
10. 전산장비·자료 및 통신기기 운영·관리
11. 사건의 접수 및 처리
12. 압수금품 접수·처리 및 보관·관리
13. 사건기록 보존 및 관리
14. 청장이 명하는 범죄사건의 수사지원
15. 정보처리장치·정보통신매체 증거자료 압수·수색 및 분석
16. 그 밖에 청 내 다른 부서의 주관에 속하지 않는 사항</t>
        </is>
      </c>
      <c r="H118" s="6" t="inlineStr"/>
      <c r="I118" s="6" t="inlineStr">
        <is>
          <t>총무과: 전산·방송통신 7급(1)·8급(1) / 시설 7급(1)·8급(1)·9급(1) / 운전 8급(1)·9급(5) / 방호 8급(2)·9급(2) / 기록연구사(1) · 과학수사지원과: 전산·방송통신 6급(1)</t>
        </is>
      </c>
      <c r="J118" s="6" t="inlineStr"/>
    </row>
    <row r="119">
      <c r="A119" s="16" t="inlineStr">
        <is>
          <t>대전</t>
        </is>
      </c>
      <c r="B119" s="6" t="inlineStr">
        <is>
          <t>사무국</t>
        </is>
      </c>
      <c r="C119" s="6" t="inlineStr">
        <is>
          <t>사무국</t>
        </is>
      </c>
      <c r="D119" s="17" t="inlineStr">
        <is>
          <t>총무과</t>
        </is>
      </c>
      <c r="E119" s="16" t="inlineStr">
        <is>
          <t>4급</t>
        </is>
      </c>
      <c r="F119" s="6" t="inlineStr">
        <is>
          <t>시행규칙 §29 (§15 준용)</t>
        </is>
      </c>
      <c r="G119" s="6" t="inlineStr">
        <is>
          <t>1. 보안, 관인 및 관인대장 관리
2. 기록물 정리·분류·접수·발송·보존·이관·폐기·활용, 기록관 및 기록관리시스템 운영
3. 소속 공무원의 임용·교육훈련 등 인사관리
4. 복무·연금·급여 및 복리후생
5. 예산운영·회계 및 결산
6. 물품 관리 및 물품·용역·공사 계약
7. 차량 유지·운영
8. 민원, 국민신문고 및 정보공개제도 운영
9. 전산장비·자료 및 통신기기 운영·관리
10. 그 밖에 국 내 다른 과의 주관에 속하지 않는 사항</t>
        </is>
      </c>
      <c r="H119" s="6" t="inlineStr"/>
      <c r="I119" s="6" t="inlineStr"/>
      <c r="J119" s="6" t="inlineStr"/>
    </row>
    <row r="120">
      <c r="A120" s="16" t="inlineStr">
        <is>
          <t>대전</t>
        </is>
      </c>
      <c r="B120" s="6" t="inlineStr">
        <is>
          <t>사무국</t>
        </is>
      </c>
      <c r="C120" s="6" t="inlineStr">
        <is>
          <t>사무국</t>
        </is>
      </c>
      <c r="D120" s="17" t="inlineStr">
        <is>
          <t>사건과</t>
        </is>
      </c>
      <c r="E120" s="16" t="inlineStr">
        <is>
          <t>4급</t>
        </is>
      </c>
      <c r="F120" s="6" t="inlineStr">
        <is>
          <t>시행규칙 §29 (§15 준용)</t>
        </is>
      </c>
      <c r="G120" s="6" t="inlineStr">
        <is>
          <t>1. 사건의 접수 및 처리
2. 영장
3. 청 소관 사건사무 및 정보보고
4. 진정·탄원·제보 등으로 내사사건 등록된 사건 처리
5. 사건통계
6. 경찰 등 다른 수사기관의 통보사건 접수 및 처리
7. 압수금품의 접수 및 처리
8. 압수금품의 보관·관리
9. 사건기록의 보존·관리</t>
        </is>
      </c>
      <c r="H120" s="6" t="inlineStr"/>
      <c r="I120" s="6" t="inlineStr"/>
      <c r="J120" s="6" t="inlineStr"/>
    </row>
    <row r="121">
      <c r="A121" s="16" t="inlineStr">
        <is>
          <t>대전</t>
        </is>
      </c>
      <c r="B121" s="6" t="inlineStr">
        <is>
          <t>사무국</t>
        </is>
      </c>
      <c r="C121" s="6" t="inlineStr">
        <is>
          <t>사무국</t>
        </is>
      </c>
      <c r="D121" s="17" t="inlineStr">
        <is>
          <t>수사지원과</t>
        </is>
      </c>
      <c r="E121" s="16" t="inlineStr">
        <is>
          <t>4급</t>
        </is>
      </c>
      <c r="F121" s="6" t="inlineStr">
        <is>
          <t>시행규칙 §29 (§15 준용)</t>
        </is>
      </c>
      <c r="G121" s="6" t="inlineStr">
        <is>
          <t>1. 청장이 명하는 중대범죄등 사건의 수사지원
2. 소재수사, 호송 등 수사지원
3. 수사지원 중 발생하는 범죄사건의 수사지원</t>
        </is>
      </c>
      <c r="H121" s="6" t="inlineStr"/>
      <c r="I121" s="6" t="inlineStr"/>
      <c r="J121" s="6" t="inlineStr"/>
    </row>
    <row r="122">
      <c r="A122" s="16" t="inlineStr">
        <is>
          <t>대전</t>
        </is>
      </c>
      <c r="B122" s="6" t="inlineStr">
        <is>
          <t>사무국</t>
        </is>
      </c>
      <c r="C122" s="6" t="inlineStr">
        <is>
          <t>사무국</t>
        </is>
      </c>
      <c r="D122" s="17" t="inlineStr">
        <is>
          <t>과학수사지원과</t>
        </is>
      </c>
      <c r="E122" s="16" t="inlineStr">
        <is>
          <t>4급</t>
        </is>
      </c>
      <c r="F122" s="6" t="inlineStr">
        <is>
          <t>시행규칙 §29 (§15 준용)</t>
        </is>
      </c>
      <c r="G122" s="6" t="inlineStr">
        <is>
          <t>1. 컴퓨터 등 정보처리장치·정보통신매체 관련 증거자료의 압수·수색 및 분석
2. 과학수사장비 운영</t>
        </is>
      </c>
      <c r="H122" s="6" t="inlineStr"/>
      <c r="I122" s="6" t="inlineStr"/>
      <c r="J122" s="6" t="inlineStr"/>
    </row>
    <row r="123">
      <c r="A123" s="16" t="inlineStr">
        <is>
          <t>대구</t>
        </is>
      </c>
      <c r="B123" s="6" t="inlineStr">
        <is>
          <t>지휘부</t>
        </is>
      </c>
      <c r="C123" s="6" t="inlineStr"/>
      <c r="D123" s="17" t="inlineStr">
        <is>
          <t>대구지방중대범죄수사청장</t>
        </is>
      </c>
      <c r="E123" s="16" t="inlineStr">
        <is>
          <t>1급</t>
        </is>
      </c>
      <c r="F123" s="6" t="inlineStr">
        <is>
          <t>직제 §20</t>
        </is>
      </c>
      <c r="G123" s="6" t="inlineStr">
        <is>
          <t>1. 지방청의 사무를 맡아 처리하고 소속 직원을 지휘·감독 (법 §11②)
2. 중수청 소관사무를 관할구역별로 분장하여 수행 (직제 §18)</t>
        </is>
      </c>
      <c r="H123" s="6" t="inlineStr"/>
      <c r="I123" s="6" t="inlineStr"/>
      <c r="J123" s="6" t="inlineStr"/>
    </row>
    <row r="124">
      <c r="A124" s="16" t="inlineStr">
        <is>
          <t>대구</t>
        </is>
      </c>
      <c r="B124" s="6" t="inlineStr">
        <is>
          <t>지휘부</t>
        </is>
      </c>
      <c r="C124" s="6" t="inlineStr">
        <is>
          <t>대구지방중대범죄수사청장</t>
        </is>
      </c>
      <c r="D124" s="17" t="inlineStr">
        <is>
          <t>차장</t>
        </is>
      </c>
      <c r="E124" s="16" t="inlineStr">
        <is>
          <t>2급</t>
        </is>
      </c>
      <c r="F124" s="6" t="inlineStr">
        <is>
          <t>직제 §21</t>
        </is>
      </c>
      <c r="G124" s="6" t="inlineStr">
        <is>
          <t>1. 지방청장을 보좌하고, 부득이한 사유로 청장이 직무를 수행할 수 없을 때 직무 대리 (법 §11④)</t>
        </is>
      </c>
      <c r="H124" s="6" t="inlineStr"/>
      <c r="I124" s="6" t="inlineStr"/>
      <c r="J124" s="6" t="inlineStr"/>
    </row>
    <row r="125">
      <c r="A125" s="16" t="inlineStr">
        <is>
          <t>대구</t>
        </is>
      </c>
      <c r="B125" s="6" t="inlineStr">
        <is>
          <t>청장 밑 담당관</t>
        </is>
      </c>
      <c r="C125" s="6" t="inlineStr"/>
      <c r="D125" s="17" t="inlineStr">
        <is>
          <t>수사심의담당관</t>
        </is>
      </c>
      <c r="E125" s="16" t="inlineStr">
        <is>
          <t>4급</t>
        </is>
      </c>
      <c r="F125" s="6" t="inlineStr">
        <is>
          <t>시행규칙 §11 (§34에서 준용)</t>
        </is>
      </c>
      <c r="G125" s="6" t="inlineStr">
        <is>
          <t>1. 법 제44조에 따른 수사심의
2. 구체적 사건 수사의 지휘·감독 적법성·정당성에 대한 이의제기 심의
3. 법 제47조에 따른 손실보상
4. 소송사무</t>
        </is>
      </c>
      <c r="H125" s="6" t="inlineStr"/>
      <c r="I125" s="6" t="inlineStr"/>
      <c r="J125" s="6" t="inlineStr"/>
    </row>
    <row r="126">
      <c r="A126" s="16" t="inlineStr">
        <is>
          <t>대구</t>
        </is>
      </c>
      <c r="B126" s="6" t="inlineStr">
        <is>
          <t>청장 밑 담당관</t>
        </is>
      </c>
      <c r="C126" s="6" t="inlineStr"/>
      <c r="D126" s="17" t="inlineStr">
        <is>
          <t>인권보호담당관</t>
        </is>
      </c>
      <c r="E126" s="16" t="inlineStr">
        <is>
          <t>4급</t>
        </is>
      </c>
      <c r="F126" s="6" t="inlineStr">
        <is>
          <t>시행규칙 §12 (§34에서 준용)</t>
        </is>
      </c>
      <c r="G126" s="6" t="inlineStr">
        <is>
          <t>1. 인권침해 예방·감독
2. 소속 공무원 인권침해 사건 처리
3. 범죄피해자 보호·지원
4. 양성평등 및 성희롱·성폭력 예방
5. 소속 공무원의 양성평등 침해 및 성희롱·성폭력 사건 처리
6. 소속 공무원의 비위 조사
7. 비위 정보수집·관리 및 진정, 내사사건의 조사·처리</t>
        </is>
      </c>
      <c r="H126" s="6" t="inlineStr"/>
      <c r="I126" s="6" t="inlineStr"/>
      <c r="J126" s="6" t="inlineStr"/>
    </row>
    <row r="127">
      <c r="A127" s="16" t="inlineStr">
        <is>
          <t>대구</t>
        </is>
      </c>
      <c r="B127" s="6" t="inlineStr">
        <is>
          <t>청장 밑 담당관</t>
        </is>
      </c>
      <c r="C127" s="6" t="inlineStr"/>
      <c r="D127" s="17" t="inlineStr">
        <is>
          <t>기획공보담당관</t>
        </is>
      </c>
      <c r="E127" s="16" t="inlineStr">
        <is>
          <t>4급</t>
        </is>
      </c>
      <c r="F127" s="6" t="inlineStr">
        <is>
          <t>시행규칙 §13 (§34에서 준용)</t>
        </is>
      </c>
      <c r="G127" s="6" t="inlineStr">
        <is>
          <t>1. 기본운영계획 수립 및 심사분석
2. 주요 업무계획 수립·총괄·조정 및 각종 지시
3. 중수청 소관 법령
4. 국정감사 등 국회 관련 사항
5. 사무감사
6. 청 업무의 대외 공표
7. 청의 홍보기획
8. 보도자료 관리·분석, 오보·왜곡보도 대응
9. 언론취재 지원 및 협조</t>
        </is>
      </c>
      <c r="H127" s="6" t="inlineStr"/>
      <c r="I127" s="6" t="inlineStr"/>
      <c r="J127" s="6" t="inlineStr"/>
    </row>
    <row r="128">
      <c r="A128" s="16" t="inlineStr">
        <is>
          <t>대구</t>
        </is>
      </c>
      <c r="B128" s="6" t="inlineStr">
        <is>
          <t>청장 밑 담당관</t>
        </is>
      </c>
      <c r="C128" s="6" t="inlineStr"/>
      <c r="D128" s="17" t="inlineStr">
        <is>
          <t>수사정보담당관</t>
        </is>
      </c>
      <c r="E128" s="16" t="inlineStr">
        <is>
          <t>4급</t>
        </is>
      </c>
      <c r="F128" s="6" t="inlineStr">
        <is>
          <t>시행규칙 §14 (§34에서 준용)</t>
        </is>
      </c>
      <c r="G128" s="6" t="inlineStr">
        <is>
          <t>1. 중수청 직무에 속하는 범죄 관련 정보·자료의 수집·분석·관리
2. 청장이 지정하는 중대범죄등 관련 정보
3. 제1호·제2호 업무와 관련된 사항</t>
        </is>
      </c>
      <c r="H128" s="6" t="inlineStr"/>
      <c r="I128" s="6" t="inlineStr"/>
      <c r="J128" s="6" t="inlineStr"/>
    </row>
    <row r="129">
      <c r="A129" s="16" t="inlineStr">
        <is>
          <t>대구</t>
        </is>
      </c>
      <c r="B129" s="6" t="inlineStr">
        <is>
          <t>수사 부서</t>
        </is>
      </c>
      <c r="C129" s="6" t="inlineStr"/>
      <c r="D129" s="17" t="inlineStr">
        <is>
          <t>경제범죄수사국</t>
        </is>
      </c>
      <c r="E129" s="16" t="inlineStr">
        <is>
          <t>3급</t>
        </is>
      </c>
      <c r="F129" s="6" t="inlineStr">
        <is>
          <t>직제 §32</t>
        </is>
      </c>
      <c r="G129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29" s="6" t="inlineStr">
        <is>
          <t>- 경제·금융·공정거래·기업·조세·가상자산·보이스피싱·재산국외도피·범죄수익은닉범죄사건
- 범죄수익추적·환수를 위한 수사</t>
        </is>
      </c>
      <c r="I129" s="6" t="inlineStr"/>
      <c r="J129" s="6" t="inlineStr"/>
    </row>
    <row r="130">
      <c r="A130" s="16" t="inlineStr">
        <is>
          <t>대구</t>
        </is>
      </c>
      <c r="B130" s="6" t="inlineStr">
        <is>
          <t>수사 부서</t>
        </is>
      </c>
      <c r="C130" s="6" t="inlineStr">
        <is>
          <t>경제범죄수사국</t>
        </is>
      </c>
      <c r="D130" s="17" t="inlineStr">
        <is>
          <t>중대경제범죄수사과</t>
        </is>
      </c>
      <c r="E130" s="16" t="inlineStr">
        <is>
          <t>4급</t>
        </is>
      </c>
      <c r="F130" s="6" t="inlineStr">
        <is>
          <t>시행규칙 §35②</t>
        </is>
      </c>
      <c r="G130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130" s="6" t="inlineStr">
        <is>
          <t>- 「형법」 제2편 제39장(사기·공갈)·제40장(횡령·배임)의 범죄
- 「특정범죄 가중처벌 등에 관한 법률」 제6조·제8조·제8조의2
- 「특정경제범죄 가중처벌 등에 관한 법률」 제3조, 제5조~제9조
- 「전기통신금융사기 피해 방지 및 피해자산 환급에 관한 특별법」·「전자금융거래법」 위반
- 「형법」 제114조의 범죄
- 법 제2조제2호나목 사건 중 경제·조세·보이스피싱범죄
- 「독점규제 및 공정거래에 관한 법률」 제124조·제125조
- 법 제2조제2호나목 사건 중 공정거래·기업범죄</t>
        </is>
      </c>
      <c r="I130" s="6" t="inlineStr"/>
      <c r="J130" s="6" t="inlineStr"/>
    </row>
    <row r="131">
      <c r="A131" s="16" t="inlineStr">
        <is>
          <t>대구</t>
        </is>
      </c>
      <c r="B131" s="6" t="inlineStr">
        <is>
          <t>수사 부서</t>
        </is>
      </c>
      <c r="C131" s="6" t="inlineStr">
        <is>
          <t>경제범죄수사국</t>
        </is>
      </c>
      <c r="D131" s="17" t="inlineStr">
        <is>
          <t>금융범죄수사과</t>
        </is>
      </c>
      <c r="E131" s="16" t="inlineStr">
        <is>
          <t>4급</t>
        </is>
      </c>
      <c r="F131" s="6" t="inlineStr">
        <is>
          <t>시행규칙 §35③</t>
        </is>
      </c>
      <c r="G131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31" s="6" t="inlineStr">
        <is>
          <t>- 「자본시장과 금융투자업에 관한 법률」 위반
- 「가상자산 이용자 보호 등에 관한 법률」 위반
- 법 제2조제2호나목 사건 중 금융·가상자산범죄</t>
        </is>
      </c>
      <c r="I131" s="6" t="inlineStr"/>
      <c r="J131" s="6" t="inlineStr"/>
    </row>
    <row r="132">
      <c r="A132" s="16" t="inlineStr">
        <is>
          <t>대구</t>
        </is>
      </c>
      <c r="B132" s="6" t="inlineStr">
        <is>
          <t>수사 부서</t>
        </is>
      </c>
      <c r="C132" s="6" t="inlineStr">
        <is>
          <t>경제범죄수사국</t>
        </is>
      </c>
      <c r="D132" s="17" t="inlineStr">
        <is>
          <t>범죄수익수사과</t>
        </is>
      </c>
      <c r="E132" s="16" t="inlineStr">
        <is>
          <t>4급</t>
        </is>
      </c>
      <c r="F132" s="6" t="inlineStr">
        <is>
          <t>시행규칙 §35④</t>
        </is>
      </c>
      <c r="G132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32" s="6" t="inlineStr">
        <is>
          <t>- 「특정경제범죄 가중처벌 등에 관한 법률」 제4조(재산국외도피)
- 법 제2조제1호바목(범죄수익은닉규제법 제3조·제4조) 범죄
- 법 제2조제2호나목 사건 중 재산국외도피·범죄수익은닉범죄
- 범죄수익의 추적 및 환수 지원</t>
        </is>
      </c>
      <c r="I132" s="6" t="inlineStr"/>
      <c r="J132" s="6" t="inlineStr"/>
    </row>
    <row r="133">
      <c r="A133" s="16" t="inlineStr">
        <is>
          <t>대구</t>
        </is>
      </c>
      <c r="B133" s="6" t="inlineStr">
        <is>
          <t>수사 부서</t>
        </is>
      </c>
      <c r="C133" s="6" t="inlineStr"/>
      <c r="D133" s="17" t="inlineStr">
        <is>
          <t>반부패수사국</t>
        </is>
      </c>
      <c r="E133" s="16" t="inlineStr">
        <is>
          <t>3급</t>
        </is>
      </c>
      <c r="F133" s="6" t="inlineStr">
        <is>
          <t>직제 §33</t>
        </is>
      </c>
      <c r="G133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33" s="6" t="inlineStr">
        <is>
          <t>- 부패범죄, 공무원 범죄, 마약류·공공안전·정치자금·방위사업·군사기밀·사이버·산업기술범죄사건
- 보완수사 요구 사건(형소법 §197의2⑧), 재수사 요구 사건(§245의8⑨)</t>
        </is>
      </c>
      <c r="I133" s="6" t="inlineStr"/>
      <c r="J133" s="6" t="inlineStr"/>
    </row>
    <row r="134">
      <c r="A134" s="16" t="inlineStr">
        <is>
          <t>대구</t>
        </is>
      </c>
      <c r="B134" s="6" t="inlineStr">
        <is>
          <t>수사 부서</t>
        </is>
      </c>
      <c r="C134" s="6" t="inlineStr">
        <is>
          <t>반부패수사국</t>
        </is>
      </c>
      <c r="D134" s="17" t="inlineStr">
        <is>
          <t>반부패수사1과</t>
        </is>
      </c>
      <c r="E134" s="16" t="inlineStr">
        <is>
          <t>4급</t>
        </is>
      </c>
      <c r="F134" s="6" t="inlineStr">
        <is>
          <t>시행규칙 §36②</t>
        </is>
      </c>
      <c r="G134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134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
- 「산업기술의 유출방지 및 보호에 관한 법률」 제36조~제38조, 「부정경쟁방지 및 영업비밀보호에 관한 법률」 제18조~제18조의4
- 정보통신망법 제71조제1항제11호~제14호·제2항, 형법 제356조, 특경법 제3조 중 기술유출 등 국가핵심기반 공격 사이버범죄
- 법 제2조제2호나목 사건 중 사이버·산업기술범죄</t>
        </is>
      </c>
      <c r="I134" s="6" t="inlineStr"/>
      <c r="J134" s="6" t="inlineStr">
        <is>
          <t>1과·2과 간 사무분장은 청장이 정합니다.</t>
        </is>
      </c>
    </row>
    <row r="135">
      <c r="A135" s="16" t="inlineStr">
        <is>
          <t>대구</t>
        </is>
      </c>
      <c r="B135" s="6" t="inlineStr">
        <is>
          <t>수사 부서</t>
        </is>
      </c>
      <c r="C135" s="6" t="inlineStr">
        <is>
          <t>반부패수사국</t>
        </is>
      </c>
      <c r="D135" s="17" t="inlineStr">
        <is>
          <t>반부패수사2과</t>
        </is>
      </c>
      <c r="E135" s="16" t="inlineStr">
        <is>
          <t>4급</t>
        </is>
      </c>
      <c r="F135" s="6" t="inlineStr">
        <is>
          <t>시행규칙 §36②</t>
        </is>
      </c>
      <c r="G135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35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
- 「형법」 제2편 제1장(내란)·제2장(외환)의 죄, 제128조
- 「정치자금법」 제45조
- 「국가정보원법」 제21조·제22조
- 「국회에서의 증언·감정 등에 관한 법률」 제14조제1항
- 「방위산업기술 보호법」·「군사기밀 보호법」 위반
- 「형사소송법」 제197조의2제8항 보완수사 요구 사건
- 「형사소송법」 제245조의8제9항 재수사 요구 사건
- 법 제2조제2호나목 사건 중 공공안전·정치자금·방산·군사기밀·국회위증 범죄
- 「산업기술의 유출방지 및 보호에 관한 법률」 제36조~제38조, 「부정경쟁방지 및 영업비밀보호에 관한 법률」 제18조~제18조의4
- 정보통신망법 제71조제1항제11호~제14호·제2항, 형법 제356조, 특경법 제3조 중 기술유출 등 국가핵심기반 공격 사이버범죄
- 법 제2조제2호나목 사건 중 사이버·산업기술범죄</t>
        </is>
      </c>
      <c r="I135" s="6" t="inlineStr"/>
      <c r="J135" s="6" t="inlineStr">
        <is>
          <t>§36②1호 나목(공공안전·방산 등 시행규칙 §8④ 사건)은 2과가 수행합니다.</t>
        </is>
      </c>
    </row>
    <row r="136">
      <c r="A136" s="16" t="inlineStr">
        <is>
          <t>대구</t>
        </is>
      </c>
      <c r="B136" s="6" t="inlineStr">
        <is>
          <t>수사 부서</t>
        </is>
      </c>
      <c r="C136" s="6" t="inlineStr">
        <is>
          <t>반부패수사국</t>
        </is>
      </c>
      <c r="D136" s="17" t="inlineStr">
        <is>
          <t>마약수사과</t>
        </is>
      </c>
      <c r="E136" s="16" t="inlineStr">
        <is>
          <t>4급</t>
        </is>
      </c>
      <c r="F136" s="6" t="inlineStr">
        <is>
          <t>시행규칙 §36③</t>
        </is>
      </c>
      <c r="G136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36" s="6" t="inlineStr">
        <is>
          <t>- 「마약류 관리에 관한 법률」 위반
- 「특정범죄 가중처벌 등에 관한 법률」 제11조
- 법 제2조제2호나목 사건 중 마약류 범죄</t>
        </is>
      </c>
      <c r="I136" s="6" t="inlineStr"/>
      <c r="J136" s="6" t="inlineStr"/>
    </row>
    <row r="137">
      <c r="A137" s="16" t="inlineStr">
        <is>
          <t>대구</t>
        </is>
      </c>
      <c r="B137" s="6" t="inlineStr">
        <is>
          <t>사무국</t>
        </is>
      </c>
      <c r="C137" s="6" t="inlineStr"/>
      <c r="D137" s="17" t="inlineStr">
        <is>
          <t>사무국</t>
        </is>
      </c>
      <c r="E137" s="16" t="inlineStr">
        <is>
          <t>3급</t>
        </is>
      </c>
      <c r="F137" s="6" t="inlineStr">
        <is>
          <t>직제 §34</t>
        </is>
      </c>
      <c r="G137" s="6" t="inlineStr">
        <is>
          <t>1. 보안 및 청사관리
2. 관인 및 관인대장 관리
3. 문서 접수·발송·보존·관리 및 기록관 운영
4. 소속 공무원 임용·교육훈련 등 인사관리
5. 복무·연금·급여 및 복리후생
6. 예산운영·회계 및 결산
7. 물품구매·조달 및 물품관리
8. 중대산업재해 관련 안전·보건
9. 차량 유지·운영
10. 전산장비·자료 및 통신기기 운영·관리
11. 사건의 접수 및 처리
12. 압수금품 접수·처리 및 보관·관리
13. 사건기록 보존 및 관리
14. 청장이 명하는 범죄사건의 수사지원
15. 정보처리장치·정보통신매체 증거자료 압수·수색 및 분석
16. 그 밖에 청 내 다른 부서의 주관에 속하지 않는 사항</t>
        </is>
      </c>
      <c r="H137" s="6" t="inlineStr"/>
      <c r="I137" s="6" t="inlineStr">
        <is>
          <t>총무과: 전산·방송통신 7급(1)·8급(1) / 시설 7급(1)·8급(1)·9급(1) / 운전 8급(1)·9급(5) / 방호 8급(2)·9급(2) / 기록연구사(1) · 과학수사지원과: 전산·방송통신 9급(1)</t>
        </is>
      </c>
      <c r="J137" s="6" t="inlineStr"/>
    </row>
    <row r="138">
      <c r="A138" s="16" t="inlineStr">
        <is>
          <t>대구</t>
        </is>
      </c>
      <c r="B138" s="6" t="inlineStr">
        <is>
          <t>사무국</t>
        </is>
      </c>
      <c r="C138" s="6" t="inlineStr">
        <is>
          <t>사무국</t>
        </is>
      </c>
      <c r="D138" s="17" t="inlineStr">
        <is>
          <t>총무과</t>
        </is>
      </c>
      <c r="E138" s="16" t="inlineStr">
        <is>
          <t>4급</t>
        </is>
      </c>
      <c r="F138" s="6" t="inlineStr">
        <is>
          <t>시행규칙 §37 (§15 준용)</t>
        </is>
      </c>
      <c r="G138" s="6" t="inlineStr">
        <is>
          <t>1. 보안, 관인 및 관인대장 관리
2. 기록물 정리·분류·접수·발송·보존·이관·폐기·활용, 기록관 및 기록관리시스템 운영
3. 소속 공무원의 임용·교육훈련 등 인사관리
4. 복무·연금·급여 및 복리후생
5. 예산운영·회계 및 결산
6. 물품 관리 및 물품·용역·공사 계약
7. 차량 유지·운영
8. 민원, 국민신문고 및 정보공개제도 운영
9. 전산장비·자료 및 통신기기 운영·관리
10. 그 밖에 국 내 다른 과의 주관에 속하지 않는 사항</t>
        </is>
      </c>
      <c r="H138" s="6" t="inlineStr"/>
      <c r="I138" s="6" t="inlineStr"/>
      <c r="J138" s="6" t="inlineStr"/>
    </row>
    <row r="139">
      <c r="A139" s="16" t="inlineStr">
        <is>
          <t>대구</t>
        </is>
      </c>
      <c r="B139" s="6" t="inlineStr">
        <is>
          <t>사무국</t>
        </is>
      </c>
      <c r="C139" s="6" t="inlineStr">
        <is>
          <t>사무국</t>
        </is>
      </c>
      <c r="D139" s="17" t="inlineStr">
        <is>
          <t>사건과</t>
        </is>
      </c>
      <c r="E139" s="16" t="inlineStr">
        <is>
          <t>4급</t>
        </is>
      </c>
      <c r="F139" s="6" t="inlineStr">
        <is>
          <t>시행규칙 §37 (§15 준용)</t>
        </is>
      </c>
      <c r="G139" s="6" t="inlineStr">
        <is>
          <t>1. 사건의 접수 및 처리
2. 영장
3. 청 소관 사건사무 및 정보보고
4. 진정·탄원·제보 등으로 내사사건 등록된 사건 처리
5. 사건통계
6. 경찰 등 다른 수사기관의 통보사건 접수 및 처리
7. 압수금품의 접수 및 처리
8. 압수금품의 보관·관리
9. 사건기록의 보존·관리</t>
        </is>
      </c>
      <c r="H139" s="6" t="inlineStr"/>
      <c r="I139" s="6" t="inlineStr"/>
      <c r="J139" s="6" t="inlineStr"/>
    </row>
    <row r="140">
      <c r="A140" s="16" t="inlineStr">
        <is>
          <t>대구</t>
        </is>
      </c>
      <c r="B140" s="6" t="inlineStr">
        <is>
          <t>사무국</t>
        </is>
      </c>
      <c r="C140" s="6" t="inlineStr">
        <is>
          <t>사무국</t>
        </is>
      </c>
      <c r="D140" s="17" t="inlineStr">
        <is>
          <t>수사지원과</t>
        </is>
      </c>
      <c r="E140" s="16" t="inlineStr">
        <is>
          <t>4급</t>
        </is>
      </c>
      <c r="F140" s="6" t="inlineStr">
        <is>
          <t>시행규칙 §37 (§15 준용)</t>
        </is>
      </c>
      <c r="G140" s="6" t="inlineStr">
        <is>
          <t>1. 청장이 명하는 중대범죄등 사건의 수사지원
2. 소재수사, 호송 등 수사지원
3. 수사지원 중 발생하는 범죄사건의 수사지원</t>
        </is>
      </c>
      <c r="H140" s="6" t="inlineStr"/>
      <c r="I140" s="6" t="inlineStr"/>
      <c r="J140" s="6" t="inlineStr"/>
    </row>
    <row r="141">
      <c r="A141" s="16" t="inlineStr">
        <is>
          <t>대구</t>
        </is>
      </c>
      <c r="B141" s="6" t="inlineStr">
        <is>
          <t>사무국</t>
        </is>
      </c>
      <c r="C141" s="6" t="inlineStr">
        <is>
          <t>사무국</t>
        </is>
      </c>
      <c r="D141" s="17" t="inlineStr">
        <is>
          <t>과학수사지원과</t>
        </is>
      </c>
      <c r="E141" s="16" t="inlineStr">
        <is>
          <t>4급</t>
        </is>
      </c>
      <c r="F141" s="6" t="inlineStr">
        <is>
          <t>시행규칙 §37 (§15 준용)</t>
        </is>
      </c>
      <c r="G141" s="6" t="inlineStr">
        <is>
          <t>1. 컴퓨터 등 정보처리장치·정보통신매체 관련 증거자료의 압수·수색 및 분석
2. 과학수사장비 운영</t>
        </is>
      </c>
      <c r="H141" s="6" t="inlineStr"/>
      <c r="I141" s="6" t="inlineStr"/>
      <c r="J141" s="6" t="inlineStr"/>
    </row>
    <row r="142">
      <c r="A142" s="16" t="inlineStr">
        <is>
          <t>부산</t>
        </is>
      </c>
      <c r="B142" s="6" t="inlineStr">
        <is>
          <t>지휘부</t>
        </is>
      </c>
      <c r="C142" s="6" t="inlineStr"/>
      <c r="D142" s="17" t="inlineStr">
        <is>
          <t>부산지방중대범죄수사청장</t>
        </is>
      </c>
      <c r="E142" s="16" t="inlineStr">
        <is>
          <t>1급</t>
        </is>
      </c>
      <c r="F142" s="6" t="inlineStr">
        <is>
          <t>직제 §20</t>
        </is>
      </c>
      <c r="G142" s="6" t="inlineStr">
        <is>
          <t>1. 지방청의 사무를 맡아 처리하고 소속 직원을 지휘·감독 (법 §11②)
2. 중수청 소관사무를 관할구역별로 분장하여 수행 (직제 §18)</t>
        </is>
      </c>
      <c r="H142" s="6" t="inlineStr"/>
      <c r="I142" s="6" t="inlineStr"/>
      <c r="J142" s="6" t="inlineStr"/>
    </row>
    <row r="143">
      <c r="A143" s="16" t="inlineStr">
        <is>
          <t>부산</t>
        </is>
      </c>
      <c r="B143" s="6" t="inlineStr">
        <is>
          <t>지휘부</t>
        </is>
      </c>
      <c r="C143" s="6" t="inlineStr">
        <is>
          <t>부산지방중대범죄수사청장</t>
        </is>
      </c>
      <c r="D143" s="17" t="inlineStr">
        <is>
          <t>차장</t>
        </is>
      </c>
      <c r="E143" s="16" t="inlineStr">
        <is>
          <t>2급</t>
        </is>
      </c>
      <c r="F143" s="6" t="inlineStr">
        <is>
          <t>직제 §21</t>
        </is>
      </c>
      <c r="G143" s="6" t="inlineStr">
        <is>
          <t>1. 지방청장을 보좌하고, 부득이한 사유로 청장이 직무를 수행할 수 없을 때 직무 대리 (법 §11④)</t>
        </is>
      </c>
      <c r="H143" s="6" t="inlineStr"/>
      <c r="I143" s="6" t="inlineStr"/>
      <c r="J143" s="6" t="inlineStr"/>
    </row>
    <row r="144">
      <c r="A144" s="16" t="inlineStr">
        <is>
          <t>부산</t>
        </is>
      </c>
      <c r="B144" s="6" t="inlineStr">
        <is>
          <t>청장 밑 담당관</t>
        </is>
      </c>
      <c r="C144" s="6" t="inlineStr"/>
      <c r="D144" s="17" t="inlineStr">
        <is>
          <t>수사심의담당관</t>
        </is>
      </c>
      <c r="E144" s="16" t="inlineStr">
        <is>
          <t>4급</t>
        </is>
      </c>
      <c r="F144" s="6" t="inlineStr">
        <is>
          <t>시행규칙 §11 (§30에서 준용)</t>
        </is>
      </c>
      <c r="G144" s="6" t="inlineStr">
        <is>
          <t>1. 법 제44조에 따른 수사심의
2. 구체적 사건 수사의 지휘·감독 적법성·정당성에 대한 이의제기 심의
3. 법 제47조에 따른 손실보상
4. 소송사무</t>
        </is>
      </c>
      <c r="H144" s="6" t="inlineStr"/>
      <c r="I144" s="6" t="inlineStr"/>
      <c r="J144" s="6" t="inlineStr"/>
    </row>
    <row r="145">
      <c r="A145" s="16" t="inlineStr">
        <is>
          <t>부산</t>
        </is>
      </c>
      <c r="B145" s="6" t="inlineStr">
        <is>
          <t>청장 밑 담당관</t>
        </is>
      </c>
      <c r="C145" s="6" t="inlineStr"/>
      <c r="D145" s="17" t="inlineStr">
        <is>
          <t>인권보호담당관</t>
        </is>
      </c>
      <c r="E145" s="16" t="inlineStr">
        <is>
          <t>4급</t>
        </is>
      </c>
      <c r="F145" s="6" t="inlineStr">
        <is>
          <t>시행규칙 §12 (§30에서 준용)</t>
        </is>
      </c>
      <c r="G145" s="6" t="inlineStr">
        <is>
          <t>1. 인권침해 예방·감독
2. 소속 공무원 인권침해 사건 처리
3. 범죄피해자 보호·지원
4. 양성평등 및 성희롱·성폭력 예방
5. 소속 공무원의 양성평등 침해 및 성희롱·성폭력 사건 처리
6. 소속 공무원의 비위 조사
7. 비위 정보수집·관리 및 진정, 내사사건의 조사·처리</t>
        </is>
      </c>
      <c r="H145" s="6" t="inlineStr"/>
      <c r="I145" s="6" t="inlineStr"/>
      <c r="J145" s="6" t="inlineStr"/>
    </row>
    <row r="146">
      <c r="A146" s="16" t="inlineStr">
        <is>
          <t>부산</t>
        </is>
      </c>
      <c r="B146" s="6" t="inlineStr">
        <is>
          <t>청장 밑 담당관</t>
        </is>
      </c>
      <c r="C146" s="6" t="inlineStr"/>
      <c r="D146" s="17" t="inlineStr">
        <is>
          <t>기획공보담당관</t>
        </is>
      </c>
      <c r="E146" s="16" t="inlineStr">
        <is>
          <t>4급</t>
        </is>
      </c>
      <c r="F146" s="6" t="inlineStr">
        <is>
          <t>시행규칙 §13 (§30에서 준용)</t>
        </is>
      </c>
      <c r="G146" s="6" t="inlineStr">
        <is>
          <t>1. 기본운영계획 수립 및 심사분석
2. 주요 업무계획 수립·총괄·조정 및 각종 지시
3. 중수청 소관 법령
4. 국정감사 등 국회 관련 사항
5. 사무감사
6. 청 업무의 대외 공표
7. 청의 홍보기획
8. 보도자료 관리·분석, 오보·왜곡보도 대응
9. 언론취재 지원 및 협조</t>
        </is>
      </c>
      <c r="H146" s="6" t="inlineStr"/>
      <c r="I146" s="6" t="inlineStr"/>
      <c r="J146" s="6" t="inlineStr"/>
    </row>
    <row r="147">
      <c r="A147" s="16" t="inlineStr">
        <is>
          <t>부산</t>
        </is>
      </c>
      <c r="B147" s="6" t="inlineStr">
        <is>
          <t>청장 밑 담당관</t>
        </is>
      </c>
      <c r="C147" s="6" t="inlineStr"/>
      <c r="D147" s="17" t="inlineStr">
        <is>
          <t>수사정보담당관</t>
        </is>
      </c>
      <c r="E147" s="16" t="inlineStr">
        <is>
          <t>4급</t>
        </is>
      </c>
      <c r="F147" s="6" t="inlineStr">
        <is>
          <t>시행규칙 §14 (§30에서 준용)</t>
        </is>
      </c>
      <c r="G147" s="6" t="inlineStr">
        <is>
          <t>1. 중수청 직무에 속하는 범죄 관련 정보·자료의 수집·분석·관리
2. 청장이 지정하는 중대범죄등 관련 정보
3. 제1호·제2호 업무와 관련된 사항</t>
        </is>
      </c>
      <c r="H147" s="6" t="inlineStr"/>
      <c r="I147" s="6" t="inlineStr"/>
      <c r="J147" s="6" t="inlineStr"/>
    </row>
    <row r="148">
      <c r="A148" s="16" t="inlineStr">
        <is>
          <t>부산</t>
        </is>
      </c>
      <c r="B148" s="6" t="inlineStr">
        <is>
          <t>수사 부서</t>
        </is>
      </c>
      <c r="C148" s="6" t="inlineStr"/>
      <c r="D148" s="17" t="inlineStr">
        <is>
          <t>경제범죄수사국</t>
        </is>
      </c>
      <c r="E148" s="16" t="inlineStr">
        <is>
          <t>3급</t>
        </is>
      </c>
      <c r="F148" s="6" t="inlineStr">
        <is>
          <t>직제 §32</t>
        </is>
      </c>
      <c r="G148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48" s="6" t="inlineStr">
        <is>
          <t>- 경제·금융·공정거래·기업·조세·가상자산·보이스피싱·재산국외도피·범죄수익은닉범죄사건
- 범죄수익추적·환수를 위한 수사</t>
        </is>
      </c>
      <c r="I148" s="6" t="inlineStr"/>
      <c r="J148" s="6" t="inlineStr"/>
    </row>
    <row r="149">
      <c r="A149" s="16" t="inlineStr">
        <is>
          <t>부산</t>
        </is>
      </c>
      <c r="B149" s="6" t="inlineStr">
        <is>
          <t>수사 부서</t>
        </is>
      </c>
      <c r="C149" s="6" t="inlineStr">
        <is>
          <t>경제범죄수사국</t>
        </is>
      </c>
      <c r="D149" s="17" t="inlineStr">
        <is>
          <t>중대경제범죄수사과</t>
        </is>
      </c>
      <c r="E149" s="16" t="inlineStr">
        <is>
          <t>4급</t>
        </is>
      </c>
      <c r="F149" s="6" t="inlineStr">
        <is>
          <t>시행규칙 §31②</t>
        </is>
      </c>
      <c r="G149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149" s="6" t="inlineStr">
        <is>
          <t>- 「형법」 제2편 제39장(사기·공갈)·제40장(횡령·배임)의 범죄
- 「특정범죄 가중처벌 등에 관한 법률」 제6조·제8조·제8조의2
- 「특정경제범죄 가중처벌 등에 관한 법률」 제3조, 제5조~제9조
- 「전기통신금융사기 피해 방지 및 피해자산 환급에 관한 특별법」·「전자금융거래법」 위반
- 「형법」 제114조의 범죄
- 법 제2조제2호나목 사건 중 경제·조세·보이스피싱범죄
- 「독점규제 및 공정거래에 관한 법률」 제124조·제125조
- 법 제2조제2호나목 사건 중 공정거래·기업범죄</t>
        </is>
      </c>
      <c r="I149" s="6" t="inlineStr"/>
      <c r="J149" s="6" t="inlineStr"/>
    </row>
    <row r="150">
      <c r="A150" s="16" t="inlineStr">
        <is>
          <t>부산</t>
        </is>
      </c>
      <c r="B150" s="6" t="inlineStr">
        <is>
          <t>수사 부서</t>
        </is>
      </c>
      <c r="C150" s="6" t="inlineStr">
        <is>
          <t>경제범죄수사국</t>
        </is>
      </c>
      <c r="D150" s="17" t="inlineStr">
        <is>
          <t>국제경제범죄수사과</t>
        </is>
      </c>
      <c r="E150" s="16" t="inlineStr">
        <is>
          <t>4급</t>
        </is>
      </c>
      <c r="F150" s="6" t="inlineStr">
        <is>
          <t>시행규칙 §31③</t>
        </is>
      </c>
      <c r="G150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50" s="6" t="inlineStr">
        <is>
          <t>- 시행규칙 §7②~⑤ 각 1호 범죄(경제·금융·공정거래·범죄수익) 중 외국인 관련 사건</t>
        </is>
      </c>
      <c r="I150" s="6" t="inlineStr"/>
      <c r="J150" s="6" t="inlineStr"/>
    </row>
    <row r="151">
      <c r="A151" s="16" t="inlineStr">
        <is>
          <t>부산</t>
        </is>
      </c>
      <c r="B151" s="6" t="inlineStr">
        <is>
          <t>수사 부서</t>
        </is>
      </c>
      <c r="C151" s="6" t="inlineStr">
        <is>
          <t>경제범죄수사국</t>
        </is>
      </c>
      <c r="D151" s="17" t="inlineStr">
        <is>
          <t>금융범죄수사과</t>
        </is>
      </c>
      <c r="E151" s="16" t="inlineStr">
        <is>
          <t>4급</t>
        </is>
      </c>
      <c r="F151" s="6" t="inlineStr">
        <is>
          <t>시행규칙 §31④</t>
        </is>
      </c>
      <c r="G151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51" s="6" t="inlineStr">
        <is>
          <t>- 「자본시장과 금융투자업에 관한 법률」 위반
- 「가상자산 이용자 보호 등에 관한 법률」 위반
- 법 제2조제2호나목 사건 중 금융·가상자산범죄</t>
        </is>
      </c>
      <c r="I151" s="6" t="inlineStr"/>
      <c r="J151" s="6" t="inlineStr"/>
    </row>
    <row r="152">
      <c r="A152" s="16" t="inlineStr">
        <is>
          <t>부산</t>
        </is>
      </c>
      <c r="B152" s="6" t="inlineStr">
        <is>
          <t>수사 부서</t>
        </is>
      </c>
      <c r="C152" s="6" t="inlineStr">
        <is>
          <t>경제범죄수사국</t>
        </is>
      </c>
      <c r="D152" s="17" t="inlineStr">
        <is>
          <t>범죄수익수사과</t>
        </is>
      </c>
      <c r="E152" s="16" t="inlineStr">
        <is>
          <t>4급</t>
        </is>
      </c>
      <c r="F152" s="6" t="inlineStr">
        <is>
          <t>시행규칙 §31⑤</t>
        </is>
      </c>
      <c r="G152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52" s="6" t="inlineStr">
        <is>
          <t>- 「특정경제범죄 가중처벌 등에 관한 법률」 제4조(재산국외도피)
- 법 제2조제1호바목(범죄수익은닉규제법 제3조·제4조) 범죄
- 법 제2조제2호나목 사건 중 재산국외도피·범죄수익은닉범죄
- 범죄수익의 추적 및 환수 지원</t>
        </is>
      </c>
      <c r="I152" s="6" t="inlineStr"/>
      <c r="J152" s="6" t="inlineStr"/>
    </row>
    <row r="153">
      <c r="A153" s="16" t="inlineStr">
        <is>
          <t>부산</t>
        </is>
      </c>
      <c r="B153" s="6" t="inlineStr">
        <is>
          <t>수사 부서</t>
        </is>
      </c>
      <c r="C153" s="6" t="inlineStr"/>
      <c r="D153" s="17" t="inlineStr">
        <is>
          <t>반부패수사국</t>
        </is>
      </c>
      <c r="E153" s="16" t="inlineStr">
        <is>
          <t>3급</t>
        </is>
      </c>
      <c r="F153" s="6" t="inlineStr">
        <is>
          <t>직제 §33</t>
        </is>
      </c>
      <c r="G153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53" s="6" t="inlineStr">
        <is>
          <t>- 부패범죄, 공무원 범죄, 마약류·공공안전·정치자금·방위사업·군사기밀·사이버·산업기술범죄사건
- 보완수사 요구 사건(형소법 §197의2⑧), 재수사 요구 사건(§245의8⑨)</t>
        </is>
      </c>
      <c r="I153" s="6" t="inlineStr"/>
      <c r="J153" s="6" t="inlineStr"/>
    </row>
    <row r="154">
      <c r="A154" s="16" t="inlineStr">
        <is>
          <t>부산</t>
        </is>
      </c>
      <c r="B154" s="6" t="inlineStr">
        <is>
          <t>수사 부서</t>
        </is>
      </c>
      <c r="C154" s="6" t="inlineStr">
        <is>
          <t>반부패수사국</t>
        </is>
      </c>
      <c r="D154" s="17" t="inlineStr">
        <is>
          <t>반부패수사1과</t>
        </is>
      </c>
      <c r="E154" s="16" t="inlineStr">
        <is>
          <t>4급</t>
        </is>
      </c>
      <c r="F154" s="6" t="inlineStr">
        <is>
          <t>시행규칙 §32②</t>
        </is>
      </c>
      <c r="G154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154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
- 「산업기술의 유출방지 및 보호에 관한 법률」 제36조~제38조, 「부정경쟁방지 및 영업비밀보호에 관한 법률」 제18조~제18조의4
- 정보통신망법 제71조제1항제11호~제14호·제2항, 형법 제356조, 특경법 제3조 중 기술유출 등 국가핵심기반 공격 사이버범죄
- 법 제2조제2호나목 사건 중 사이버·산업기술범죄</t>
        </is>
      </c>
      <c r="I154" s="6" t="inlineStr"/>
      <c r="J154" s="6" t="inlineStr">
        <is>
          <t>1과·2과 간 사무분장은 청장이 정합니다.</t>
        </is>
      </c>
    </row>
    <row r="155">
      <c r="A155" s="16" t="inlineStr">
        <is>
          <t>부산</t>
        </is>
      </c>
      <c r="B155" s="6" t="inlineStr">
        <is>
          <t>수사 부서</t>
        </is>
      </c>
      <c r="C155" s="6" t="inlineStr">
        <is>
          <t>반부패수사국</t>
        </is>
      </c>
      <c r="D155" s="17" t="inlineStr">
        <is>
          <t>반부패수사2과</t>
        </is>
      </c>
      <c r="E155" s="16" t="inlineStr">
        <is>
          <t>4급</t>
        </is>
      </c>
      <c r="F155" s="6" t="inlineStr">
        <is>
          <t>시행규칙 §32②</t>
        </is>
      </c>
      <c r="G155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55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
- 「형법」 제2편 제1장(내란)·제2장(외환)의 죄, 제128조
- 「정치자금법」 제45조
- 「국가정보원법」 제21조·제22조
- 「국회에서의 증언·감정 등에 관한 법률」 제14조제1항
- 「방위산업기술 보호법」·「군사기밀 보호법」 위반
- 「형사소송법」 제197조의2제8항 보완수사 요구 사건
- 「형사소송법」 제245조의8제9항 재수사 요구 사건
- 법 제2조제2호나목 사건 중 공공안전·정치자금·방산·군사기밀·국회위증 범죄
- 「산업기술의 유출방지 및 보호에 관한 법률」 제36조~제38조, 「부정경쟁방지 및 영업비밀보호에 관한 법률」 제18조~제18조의4
- 정보통신망법 제71조제1항제11호~제14호·제2항, 형법 제356조, 특경법 제3조 중 기술유출 등 국가핵심기반 공격 사이버범죄
- 법 제2조제2호나목 사건 중 사이버·산업기술범죄</t>
        </is>
      </c>
      <c r="I155" s="6" t="inlineStr"/>
      <c r="J155" s="6" t="inlineStr">
        <is>
          <t>§32②1호 나목(공공안전·방산 등 시행규칙 §8④ 사건)은 2과가 수행합니다.</t>
        </is>
      </c>
    </row>
    <row r="156">
      <c r="A156" s="16" t="inlineStr">
        <is>
          <t>부산</t>
        </is>
      </c>
      <c r="B156" s="6" t="inlineStr">
        <is>
          <t>수사 부서</t>
        </is>
      </c>
      <c r="C156" s="6" t="inlineStr">
        <is>
          <t>반부패수사국</t>
        </is>
      </c>
      <c r="D156" s="17" t="inlineStr">
        <is>
          <t>마약수사1과</t>
        </is>
      </c>
      <c r="E156" s="16" t="inlineStr">
        <is>
          <t>4급</t>
        </is>
      </c>
      <c r="F156" s="6" t="inlineStr">
        <is>
          <t>시행규칙 §32③</t>
        </is>
      </c>
      <c r="G156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56" s="6" t="inlineStr">
        <is>
          <t>- 「마약류 관리에 관한 법률」 위반
- 「특정범죄 가중처벌 등에 관한 법률」 제11조
- 법 제2조제2호나목 사건 중 마약류 범죄</t>
        </is>
      </c>
      <c r="I156" s="6" t="inlineStr"/>
      <c r="J156" s="6" t="inlineStr">
        <is>
          <t>1과·2과 간 사무분장은 청장이 정합니다.</t>
        </is>
      </c>
    </row>
    <row r="157">
      <c r="A157" s="16" t="inlineStr">
        <is>
          <t>부산</t>
        </is>
      </c>
      <c r="B157" s="6" t="inlineStr">
        <is>
          <t>수사 부서</t>
        </is>
      </c>
      <c r="C157" s="6" t="inlineStr">
        <is>
          <t>반부패수사국</t>
        </is>
      </c>
      <c r="D157" s="17" t="inlineStr">
        <is>
          <t>마약수사2과</t>
        </is>
      </c>
      <c r="E157" s="16" t="inlineStr">
        <is>
          <t>4급</t>
        </is>
      </c>
      <c r="F157" s="6" t="inlineStr">
        <is>
          <t>시행규칙 §32③</t>
        </is>
      </c>
      <c r="G157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57" s="6" t="inlineStr">
        <is>
          <t>- 「마약류 관리에 관한 법률」 위반
- 「특정범죄 가중처벌 등에 관한 법률」 제11조
- 법 제2조제2호나목 사건 중 마약류 범죄</t>
        </is>
      </c>
      <c r="I157" s="6" t="inlineStr"/>
      <c r="J157" s="6" t="inlineStr"/>
    </row>
    <row r="158">
      <c r="A158" s="16" t="inlineStr">
        <is>
          <t>부산</t>
        </is>
      </c>
      <c r="B158" s="6" t="inlineStr">
        <is>
          <t>사무국</t>
        </is>
      </c>
      <c r="C158" s="6" t="inlineStr"/>
      <c r="D158" s="17" t="inlineStr">
        <is>
          <t>사무국</t>
        </is>
      </c>
      <c r="E158" s="16" t="inlineStr">
        <is>
          <t>3급</t>
        </is>
      </c>
      <c r="F158" s="6" t="inlineStr">
        <is>
          <t>직제 §34</t>
        </is>
      </c>
      <c r="G158" s="6" t="inlineStr">
        <is>
          <t>1. 보안 및 청사관리
2. 관인 및 관인대장 관리
3. 문서 접수·발송·보존·관리 및 기록관 운영
4. 소속 공무원 임용·교육훈련 등 인사관리
5. 복무·연금·급여 및 복리후생
6. 예산운영·회계 및 결산
7. 물품구매·조달 및 물품관리
8. 중대산업재해 관련 안전·보건
9. 차량 유지·운영
10. 전산장비·자료 및 통신기기 운영·관리
11. 사건의 접수 및 처리
12. 압수금품 접수·처리 및 보관·관리
13. 사건기록 보존 및 관리
14. 청장이 명하는 범죄사건의 수사지원
15. 정보처리장치·정보통신매체 증거자료 압수·수색 및 분석
16. 그 밖에 청 내 다른 부서의 주관에 속하지 않는 사항</t>
        </is>
      </c>
      <c r="H158" s="6" t="inlineStr"/>
      <c r="I158" s="6" t="inlineStr">
        <is>
          <t>총무과: 전산·방송통신 7급(1)·8급(1) / 시설 7급(1)·8급(1)·9급(1) / 운전 8급(2)·9급(4) / 방호 8급(2)·9급(2) / 기록연구사(1) · 과학수사지원과: 전산·방송통신 9급(1), 보건연구관(1), 보건연구사(2)</t>
        </is>
      </c>
      <c r="J158" s="6" t="inlineStr"/>
    </row>
    <row r="159">
      <c r="A159" s="16" t="inlineStr">
        <is>
          <t>부산</t>
        </is>
      </c>
      <c r="B159" s="6" t="inlineStr">
        <is>
          <t>사무국</t>
        </is>
      </c>
      <c r="C159" s="6" t="inlineStr">
        <is>
          <t>사무국</t>
        </is>
      </c>
      <c r="D159" s="17" t="inlineStr">
        <is>
          <t>총무과</t>
        </is>
      </c>
      <c r="E159" s="16" t="inlineStr">
        <is>
          <t>4급</t>
        </is>
      </c>
      <c r="F159" s="6" t="inlineStr">
        <is>
          <t>시행규칙 §33 (§15 준용)</t>
        </is>
      </c>
      <c r="G159" s="6" t="inlineStr">
        <is>
          <t>1. 보안, 관인 및 관인대장 관리
2. 기록물 정리·분류·접수·발송·보존·이관·폐기·활용, 기록관 및 기록관리시스템 운영
3. 소속 공무원의 임용·교육훈련 등 인사관리
4. 복무·연금·급여 및 복리후생
5. 예산운영·회계 및 결산
6. 물품 관리 및 물품·용역·공사 계약
7. 차량 유지·운영
8. 민원, 국민신문고 및 정보공개제도 운영
9. 전산장비·자료 및 통신기기 운영·관리
10. 그 밖에 국 내 다른 과의 주관에 속하지 않는 사항</t>
        </is>
      </c>
      <c r="H159" s="6" t="inlineStr"/>
      <c r="I159" s="6" t="inlineStr"/>
      <c r="J159" s="6" t="inlineStr"/>
    </row>
    <row r="160">
      <c r="A160" s="16" t="inlineStr">
        <is>
          <t>부산</t>
        </is>
      </c>
      <c r="B160" s="6" t="inlineStr">
        <is>
          <t>사무국</t>
        </is>
      </c>
      <c r="C160" s="6" t="inlineStr">
        <is>
          <t>사무국</t>
        </is>
      </c>
      <c r="D160" s="17" t="inlineStr">
        <is>
          <t>사건과</t>
        </is>
      </c>
      <c r="E160" s="16" t="inlineStr">
        <is>
          <t>4급</t>
        </is>
      </c>
      <c r="F160" s="6" t="inlineStr">
        <is>
          <t>시행규칙 §33 (§15 준용)</t>
        </is>
      </c>
      <c r="G160" s="6" t="inlineStr">
        <is>
          <t>1. 사건의 접수 및 처리
2. 영장
3. 청 소관 사건사무 및 정보보고
4. 진정·탄원·제보 등으로 내사사건 등록된 사건 처리
5. 사건통계
6. 경찰 등 다른 수사기관의 통보사건 접수 및 처리
7. 압수금품의 접수 및 처리
8. 압수금품의 보관·관리
9. 사건기록의 보존·관리</t>
        </is>
      </c>
      <c r="H160" s="6" t="inlineStr"/>
      <c r="I160" s="6" t="inlineStr"/>
      <c r="J160" s="6" t="inlineStr"/>
    </row>
    <row r="161">
      <c r="A161" s="16" t="inlineStr">
        <is>
          <t>부산</t>
        </is>
      </c>
      <c r="B161" s="6" t="inlineStr">
        <is>
          <t>사무국</t>
        </is>
      </c>
      <c r="C161" s="6" t="inlineStr">
        <is>
          <t>사무국</t>
        </is>
      </c>
      <c r="D161" s="17" t="inlineStr">
        <is>
          <t>수사지원과</t>
        </is>
      </c>
      <c r="E161" s="16" t="inlineStr">
        <is>
          <t>4급</t>
        </is>
      </c>
      <c r="F161" s="6" t="inlineStr">
        <is>
          <t>시행규칙 §33 (§15 준용)</t>
        </is>
      </c>
      <c r="G161" s="6" t="inlineStr">
        <is>
          <t>1. 청장이 명하는 중대범죄등 사건의 수사지원
2. 소재수사, 호송 등 수사지원
3. 수사지원 중 발생하는 범죄사건의 수사지원</t>
        </is>
      </c>
      <c r="H161" s="6" t="inlineStr"/>
      <c r="I161" s="6" t="inlineStr"/>
      <c r="J161" s="6" t="inlineStr"/>
    </row>
    <row r="162">
      <c r="A162" s="16" t="inlineStr">
        <is>
          <t>부산</t>
        </is>
      </c>
      <c r="B162" s="6" t="inlineStr">
        <is>
          <t>사무국</t>
        </is>
      </c>
      <c r="C162" s="6" t="inlineStr">
        <is>
          <t>사무국</t>
        </is>
      </c>
      <c r="D162" s="17" t="inlineStr">
        <is>
          <t>과학수사지원과</t>
        </is>
      </c>
      <c r="E162" s="16" t="inlineStr">
        <is>
          <t>4급</t>
        </is>
      </c>
      <c r="F162" s="6" t="inlineStr">
        <is>
          <t>시행규칙 §33 (§15 준용)</t>
        </is>
      </c>
      <c r="G162" s="6" t="inlineStr">
        <is>
          <t>1. 컴퓨터 등 정보처리장치·정보통신매체 관련 증거자료의 압수·수색 및 분석
2. 과학수사장비 운영</t>
        </is>
      </c>
      <c r="H162" s="6" t="inlineStr"/>
      <c r="I162" s="6" t="inlineStr"/>
      <c r="J162" s="6" t="inlineStr"/>
    </row>
    <row r="163">
      <c r="A163" s="16" t="inlineStr">
        <is>
          <t>광주</t>
        </is>
      </c>
      <c r="B163" s="6" t="inlineStr">
        <is>
          <t>지휘부</t>
        </is>
      </c>
      <c r="C163" s="6" t="inlineStr"/>
      <c r="D163" s="17" t="inlineStr">
        <is>
          <t>광주지방중대범죄수사청장</t>
        </is>
      </c>
      <c r="E163" s="16" t="inlineStr">
        <is>
          <t>1급</t>
        </is>
      </c>
      <c r="F163" s="6" t="inlineStr">
        <is>
          <t>직제 §20</t>
        </is>
      </c>
      <c r="G163" s="6" t="inlineStr">
        <is>
          <t>1. 지방청의 사무를 맡아 처리하고 소속 직원을 지휘·감독 (법 §11②)
2. 중수청 소관사무를 관할구역별로 분장하여 수행 (직제 §18)</t>
        </is>
      </c>
      <c r="H163" s="6" t="inlineStr"/>
      <c r="I163" s="6" t="inlineStr"/>
      <c r="J163" s="6" t="inlineStr"/>
    </row>
    <row r="164">
      <c r="A164" s="16" t="inlineStr">
        <is>
          <t>광주</t>
        </is>
      </c>
      <c r="B164" s="6" t="inlineStr">
        <is>
          <t>지휘부</t>
        </is>
      </c>
      <c r="C164" s="6" t="inlineStr">
        <is>
          <t>광주지방중대범죄수사청장</t>
        </is>
      </c>
      <c r="D164" s="17" t="inlineStr">
        <is>
          <t>차장</t>
        </is>
      </c>
      <c r="E164" s="16" t="inlineStr">
        <is>
          <t>2급</t>
        </is>
      </c>
      <c r="F164" s="6" t="inlineStr">
        <is>
          <t>직제 §21</t>
        </is>
      </c>
      <c r="G164" s="6" t="inlineStr">
        <is>
          <t>1. 지방청장을 보좌하고, 부득이한 사유로 청장이 직무를 수행할 수 없을 때 직무 대리 (법 §11④)</t>
        </is>
      </c>
      <c r="H164" s="6" t="inlineStr"/>
      <c r="I164" s="6" t="inlineStr"/>
      <c r="J164" s="6" t="inlineStr"/>
    </row>
    <row r="165">
      <c r="A165" s="16" t="inlineStr">
        <is>
          <t>광주</t>
        </is>
      </c>
      <c r="B165" s="6" t="inlineStr">
        <is>
          <t>청장 밑 담당관</t>
        </is>
      </c>
      <c r="C165" s="6" t="inlineStr"/>
      <c r="D165" s="17" t="inlineStr">
        <is>
          <t>수사심의담당관</t>
        </is>
      </c>
      <c r="E165" s="16" t="inlineStr">
        <is>
          <t>4급</t>
        </is>
      </c>
      <c r="F165" s="6" t="inlineStr">
        <is>
          <t>시행규칙 §11 (§34에서 준용)</t>
        </is>
      </c>
      <c r="G165" s="6" t="inlineStr">
        <is>
          <t>1. 법 제44조에 따른 수사심의
2. 구체적 사건 수사의 지휘·감독 적법성·정당성에 대한 이의제기 심의
3. 법 제47조에 따른 손실보상
4. 소송사무</t>
        </is>
      </c>
      <c r="H165" s="6" t="inlineStr"/>
      <c r="I165" s="6" t="inlineStr"/>
      <c r="J165" s="6" t="inlineStr"/>
    </row>
    <row r="166">
      <c r="A166" s="16" t="inlineStr">
        <is>
          <t>광주</t>
        </is>
      </c>
      <c r="B166" s="6" t="inlineStr">
        <is>
          <t>청장 밑 담당관</t>
        </is>
      </c>
      <c r="C166" s="6" t="inlineStr"/>
      <c r="D166" s="17" t="inlineStr">
        <is>
          <t>인권보호담당관</t>
        </is>
      </c>
      <c r="E166" s="16" t="inlineStr">
        <is>
          <t>4급</t>
        </is>
      </c>
      <c r="F166" s="6" t="inlineStr">
        <is>
          <t>시행규칙 §12 (§34에서 준용)</t>
        </is>
      </c>
      <c r="G166" s="6" t="inlineStr">
        <is>
          <t>1. 인권침해 예방·감독
2. 소속 공무원 인권침해 사건 처리
3. 범죄피해자 보호·지원
4. 양성평등 및 성희롱·성폭력 예방
5. 소속 공무원의 양성평등 침해 및 성희롱·성폭력 사건 처리
6. 소속 공무원의 비위 조사
7. 비위 정보수집·관리 및 진정, 내사사건의 조사·처리</t>
        </is>
      </c>
      <c r="H166" s="6" t="inlineStr"/>
      <c r="I166" s="6" t="inlineStr"/>
      <c r="J166" s="6" t="inlineStr"/>
    </row>
    <row r="167">
      <c r="A167" s="16" t="inlineStr">
        <is>
          <t>광주</t>
        </is>
      </c>
      <c r="B167" s="6" t="inlineStr">
        <is>
          <t>청장 밑 담당관</t>
        </is>
      </c>
      <c r="C167" s="6" t="inlineStr"/>
      <c r="D167" s="17" t="inlineStr">
        <is>
          <t>기획공보담당관</t>
        </is>
      </c>
      <c r="E167" s="16" t="inlineStr">
        <is>
          <t>4급</t>
        </is>
      </c>
      <c r="F167" s="6" t="inlineStr">
        <is>
          <t>시행규칙 §13 (§34에서 준용)</t>
        </is>
      </c>
      <c r="G167" s="6" t="inlineStr">
        <is>
          <t>1. 기본운영계획 수립 및 심사분석
2. 주요 업무계획 수립·총괄·조정 및 각종 지시
3. 중수청 소관 법령
4. 국정감사 등 국회 관련 사항
5. 사무감사
6. 청 업무의 대외 공표
7. 청의 홍보기획
8. 보도자료 관리·분석, 오보·왜곡보도 대응
9. 언론취재 지원 및 협조</t>
        </is>
      </c>
      <c r="H167" s="6" t="inlineStr"/>
      <c r="I167" s="6" t="inlineStr"/>
      <c r="J167" s="6" t="inlineStr"/>
    </row>
    <row r="168">
      <c r="A168" s="16" t="inlineStr">
        <is>
          <t>광주</t>
        </is>
      </c>
      <c r="B168" s="6" t="inlineStr">
        <is>
          <t>청장 밑 담당관</t>
        </is>
      </c>
      <c r="C168" s="6" t="inlineStr"/>
      <c r="D168" s="17" t="inlineStr">
        <is>
          <t>수사정보담당관</t>
        </is>
      </c>
      <c r="E168" s="16" t="inlineStr">
        <is>
          <t>4급</t>
        </is>
      </c>
      <c r="F168" s="6" t="inlineStr">
        <is>
          <t>시행규칙 §14 (§34에서 준용)</t>
        </is>
      </c>
      <c r="G168" s="6" t="inlineStr">
        <is>
          <t>1. 중수청 직무에 속하는 범죄 관련 정보·자료의 수집·분석·관리
2. 청장이 지정하는 중대범죄등 관련 정보
3. 제1호·제2호 업무와 관련된 사항</t>
        </is>
      </c>
      <c r="H168" s="6" t="inlineStr"/>
      <c r="I168" s="6" t="inlineStr"/>
      <c r="J168" s="6" t="inlineStr"/>
    </row>
    <row r="169">
      <c r="A169" s="16" t="inlineStr">
        <is>
          <t>광주</t>
        </is>
      </c>
      <c r="B169" s="6" t="inlineStr">
        <is>
          <t>수사 부서</t>
        </is>
      </c>
      <c r="C169" s="6" t="inlineStr"/>
      <c r="D169" s="17" t="inlineStr">
        <is>
          <t>경제범죄수사국</t>
        </is>
      </c>
      <c r="E169" s="16" t="inlineStr">
        <is>
          <t>3급</t>
        </is>
      </c>
      <c r="F169" s="6" t="inlineStr">
        <is>
          <t>직제 §32</t>
        </is>
      </c>
      <c r="G169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69" s="6" t="inlineStr">
        <is>
          <t>- 경제·금융·공정거래·기업·조세·가상자산·보이스피싱·재산국외도피·범죄수익은닉범죄사건
- 범죄수익추적·환수를 위한 수사</t>
        </is>
      </c>
      <c r="I169" s="6" t="inlineStr"/>
      <c r="J169" s="6" t="inlineStr"/>
    </row>
    <row r="170">
      <c r="A170" s="16" t="inlineStr">
        <is>
          <t>광주</t>
        </is>
      </c>
      <c r="B170" s="6" t="inlineStr">
        <is>
          <t>수사 부서</t>
        </is>
      </c>
      <c r="C170" s="6" t="inlineStr">
        <is>
          <t>경제범죄수사국</t>
        </is>
      </c>
      <c r="D170" s="17" t="inlineStr">
        <is>
          <t>중대경제범죄수사과</t>
        </is>
      </c>
      <c r="E170" s="16" t="inlineStr">
        <is>
          <t>4급</t>
        </is>
      </c>
      <c r="F170" s="6" t="inlineStr">
        <is>
          <t>시행규칙 §35②</t>
        </is>
      </c>
      <c r="G170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170" s="6" t="inlineStr">
        <is>
          <t>- 「형법」 제2편 제39장(사기·공갈)·제40장(횡령·배임)의 범죄
- 「특정범죄 가중처벌 등에 관한 법률」 제6조·제8조·제8조의2
- 「특정경제범죄 가중처벌 등에 관한 법률」 제3조, 제5조~제9조
- 「전기통신금융사기 피해 방지 및 피해자산 환급에 관한 특별법」·「전자금융거래법」 위반
- 「형법」 제114조의 범죄
- 법 제2조제2호나목 사건 중 경제·조세·보이스피싱범죄
- 「독점규제 및 공정거래에 관한 법률」 제124조·제125조
- 법 제2조제2호나목 사건 중 공정거래·기업범죄</t>
        </is>
      </c>
      <c r="I170" s="6" t="inlineStr"/>
      <c r="J170" s="6" t="inlineStr"/>
    </row>
    <row r="171">
      <c r="A171" s="16" t="inlineStr">
        <is>
          <t>광주</t>
        </is>
      </c>
      <c r="B171" s="6" t="inlineStr">
        <is>
          <t>수사 부서</t>
        </is>
      </c>
      <c r="C171" s="6" t="inlineStr">
        <is>
          <t>경제범죄수사국</t>
        </is>
      </c>
      <c r="D171" s="17" t="inlineStr">
        <is>
          <t>금융범죄수사과</t>
        </is>
      </c>
      <c r="E171" s="16" t="inlineStr">
        <is>
          <t>4급</t>
        </is>
      </c>
      <c r="F171" s="6" t="inlineStr">
        <is>
          <t>시행규칙 §35③</t>
        </is>
      </c>
      <c r="G171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71" s="6" t="inlineStr">
        <is>
          <t>- 「자본시장과 금융투자업에 관한 법률」 위반
- 「가상자산 이용자 보호 등에 관한 법률」 위반
- 법 제2조제2호나목 사건 중 금융·가상자산범죄</t>
        </is>
      </c>
      <c r="I171" s="6" t="inlineStr"/>
      <c r="J171" s="6" t="inlineStr"/>
    </row>
    <row r="172">
      <c r="A172" s="16" t="inlineStr">
        <is>
          <t>광주</t>
        </is>
      </c>
      <c r="B172" s="6" t="inlineStr">
        <is>
          <t>수사 부서</t>
        </is>
      </c>
      <c r="C172" s="6" t="inlineStr">
        <is>
          <t>경제범죄수사국</t>
        </is>
      </c>
      <c r="D172" s="17" t="inlineStr">
        <is>
          <t>범죄수익수사과</t>
        </is>
      </c>
      <c r="E172" s="16" t="inlineStr">
        <is>
          <t>4급</t>
        </is>
      </c>
      <c r="F172" s="6" t="inlineStr">
        <is>
          <t>시행규칙 §35④</t>
        </is>
      </c>
      <c r="G172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72" s="6" t="inlineStr">
        <is>
          <t>- 「특정경제범죄 가중처벌 등에 관한 법률」 제4조(재산국외도피)
- 법 제2조제1호바목(범죄수익은닉규제법 제3조·제4조) 범죄
- 법 제2조제2호나목 사건 중 재산국외도피·범죄수익은닉범죄
- 범죄수익의 추적 및 환수 지원</t>
        </is>
      </c>
      <c r="I172" s="6" t="inlineStr"/>
      <c r="J172" s="6" t="inlineStr"/>
    </row>
    <row r="173">
      <c r="A173" s="16" t="inlineStr">
        <is>
          <t>광주</t>
        </is>
      </c>
      <c r="B173" s="6" t="inlineStr">
        <is>
          <t>수사 부서</t>
        </is>
      </c>
      <c r="C173" s="6" t="inlineStr"/>
      <c r="D173" s="17" t="inlineStr">
        <is>
          <t>반부패수사국</t>
        </is>
      </c>
      <c r="E173" s="16" t="inlineStr">
        <is>
          <t>3급</t>
        </is>
      </c>
      <c r="F173" s="6" t="inlineStr">
        <is>
          <t>직제 §33</t>
        </is>
      </c>
      <c r="G173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73" s="6" t="inlineStr">
        <is>
          <t>- 부패범죄, 공무원 범죄, 마약류·공공안전·정치자금·방위사업·군사기밀·사이버·산업기술범죄사건
- 보완수사 요구 사건(형소법 §197의2⑧), 재수사 요구 사건(§245의8⑨)</t>
        </is>
      </c>
      <c r="I173" s="6" t="inlineStr"/>
      <c r="J173" s="6" t="inlineStr"/>
    </row>
    <row r="174">
      <c r="A174" s="16" t="inlineStr">
        <is>
          <t>광주</t>
        </is>
      </c>
      <c r="B174" s="6" t="inlineStr">
        <is>
          <t>수사 부서</t>
        </is>
      </c>
      <c r="C174" s="6" t="inlineStr">
        <is>
          <t>반부패수사국</t>
        </is>
      </c>
      <c r="D174" s="17" t="inlineStr">
        <is>
          <t>반부패수사1과</t>
        </is>
      </c>
      <c r="E174" s="16" t="inlineStr">
        <is>
          <t>4급</t>
        </is>
      </c>
      <c r="F174" s="6" t="inlineStr">
        <is>
          <t>시행규칙 §36②</t>
        </is>
      </c>
      <c r="G174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
6. 그 밖에 국 내 다른 과의 주관에 속하지 않는 사항</t>
        </is>
      </c>
      <c r="H174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
- 「산업기술의 유출방지 및 보호에 관한 법률」 제36조~제38조, 「부정경쟁방지 및 영업비밀보호에 관한 법률」 제18조~제18조의4
- 정보통신망법 제71조제1항제11호~제14호·제2항, 형법 제356조, 특경법 제3조 중 기술유출 등 국가핵심기반 공격 사이버범죄
- 법 제2조제2호나목 사건 중 사이버·산업기술범죄</t>
        </is>
      </c>
      <c r="I174" s="6" t="inlineStr"/>
      <c r="J174" s="6" t="inlineStr">
        <is>
          <t>1과·2과 간 사무분장은 청장이 정합니다.</t>
        </is>
      </c>
    </row>
    <row r="175">
      <c r="A175" s="16" t="inlineStr">
        <is>
          <t>광주</t>
        </is>
      </c>
      <c r="B175" s="6" t="inlineStr">
        <is>
          <t>수사 부서</t>
        </is>
      </c>
      <c r="C175" s="6" t="inlineStr">
        <is>
          <t>반부패수사국</t>
        </is>
      </c>
      <c r="D175" s="17" t="inlineStr">
        <is>
          <t>반부패수사2과</t>
        </is>
      </c>
      <c r="E175" s="16" t="inlineStr">
        <is>
          <t>4급</t>
        </is>
      </c>
      <c r="F175" s="6" t="inlineStr">
        <is>
          <t>시행규칙 §36②</t>
        </is>
      </c>
      <c r="G175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75" s="6" t="inlineStr">
        <is>
          <t>- 「형법」 제122조, 제124조~제127조, 제129조~제133조, 제141조, 제225조·제227조·제227조의2 및 제229조(행사죄)
- 「변호사법」 제111조
- 「특정범죄 가중처벌 등에 관한 법률」 제2조~제5조
- 「형법」 제123조의2
- 공소청·경찰·공수처·법원 소속 공무원이 재직 중 저지른 범죄(퇴직자 포함)
- 법 제2조제2호나목 사건 중 부패범죄·공무원 범죄
- 「형법」 제2편 제1장(내란)·제2장(외환)의 죄, 제128조
- 「정치자금법」 제45조
- 「국가정보원법」 제21조·제22조
- 「국회에서의 증언·감정 등에 관한 법률」 제14조제1항
- 「방위산업기술 보호법」·「군사기밀 보호법」 위반
- 「형사소송법」 제197조의2제8항 보완수사 요구 사건
- 「형사소송법」 제245조의8제9항 재수사 요구 사건
- 법 제2조제2호나목 사건 중 공공안전·정치자금·방산·군사기밀·국회위증 범죄
- 「산업기술의 유출방지 및 보호에 관한 법률」 제36조~제38조, 「부정경쟁방지 및 영업비밀보호에 관한 법률」 제18조~제18조의4
- 정보통신망법 제71조제1항제11호~제14호·제2항, 형법 제356조, 특경법 제3조 중 기술유출 등 국가핵심기반 공격 사이버범죄
- 법 제2조제2호나목 사건 중 사이버·산업기술범죄</t>
        </is>
      </c>
      <c r="I175" s="6" t="inlineStr"/>
      <c r="J175" s="6" t="inlineStr">
        <is>
          <t>§36②1호 나목(공공안전·방산 등 시행규칙 §8④ 사건)은 2과가 수행합니다.</t>
        </is>
      </c>
    </row>
    <row r="176">
      <c r="A176" s="16" t="inlineStr">
        <is>
          <t>광주</t>
        </is>
      </c>
      <c r="B176" s="6" t="inlineStr">
        <is>
          <t>수사 부서</t>
        </is>
      </c>
      <c r="C176" s="6" t="inlineStr">
        <is>
          <t>반부패수사국</t>
        </is>
      </c>
      <c r="D176" s="17" t="inlineStr">
        <is>
          <t>마약수사과</t>
        </is>
      </c>
      <c r="E176" s="16" t="inlineStr">
        <is>
          <t>4급</t>
        </is>
      </c>
      <c r="F176" s="6" t="inlineStr">
        <is>
          <t>시행규칙 §36③</t>
        </is>
      </c>
      <c r="G176" s="6" t="inlineStr">
        <is>
          <t>1. 아래 사건 및 이와 직접 관련이 있어 청장이 명하는 사건의 수사 및 처리
2. 관련 범죄수법의 조사·연구 및 공조
3. 관련 정보·자료의 수집·관리
4. 제1호~제3호 업무와 관련된 사항
5. 유관기관 협조</t>
        </is>
      </c>
      <c r="H176" s="6" t="inlineStr">
        <is>
          <t>- 「마약류 관리에 관한 법률」 위반
- 「특정범죄 가중처벌 등에 관한 법률」 제11조
- 법 제2조제2호나목 사건 중 마약류 범죄</t>
        </is>
      </c>
      <c r="I176" s="6" t="inlineStr"/>
      <c r="J176" s="6" t="inlineStr"/>
    </row>
    <row r="177">
      <c r="A177" s="16" t="inlineStr">
        <is>
          <t>광주</t>
        </is>
      </c>
      <c r="B177" s="6" t="inlineStr">
        <is>
          <t>사무국</t>
        </is>
      </c>
      <c r="C177" s="6" t="inlineStr"/>
      <c r="D177" s="17" t="inlineStr">
        <is>
          <t>사무국</t>
        </is>
      </c>
      <c r="E177" s="16" t="inlineStr">
        <is>
          <t>3급</t>
        </is>
      </c>
      <c r="F177" s="6" t="inlineStr">
        <is>
          <t>직제 §34</t>
        </is>
      </c>
      <c r="G177" s="6" t="inlineStr">
        <is>
          <t>1. 보안 및 청사관리
2. 관인 및 관인대장 관리
3. 문서 접수·발송·보존·관리 및 기록관 운영
4. 소속 공무원 임용·교육훈련 등 인사관리
5. 복무·연금·급여 및 복리후생
6. 예산운영·회계 및 결산
7. 물품구매·조달 및 물품관리
8. 중대산업재해 관련 안전·보건
9. 차량 유지·운영
10. 전산장비·자료 및 통신기기 운영·관리
11. 사건의 접수 및 처리
12. 압수금품 접수·처리 및 보관·관리
13. 사건기록 보존 및 관리
14. 청장이 명하는 범죄사건의 수사지원
15. 정보처리장치·정보통신매체 증거자료 압수·수색 및 분석
16. 그 밖에 청 내 다른 부서의 주관에 속하지 않는 사항</t>
        </is>
      </c>
      <c r="H177" s="6" t="inlineStr"/>
      <c r="I177" s="6" t="inlineStr">
        <is>
          <t>총무과: 전산·방송통신 7급(1)·8급(1) / 시설·공업 7급(1)·8급(1)·9급(1) / 운전 8급(1)·9급(5) / 방호 8급(2)·9급(2) / 기록연구사(1) · 과학수사지원과: 전산·방송통신 7급(1)·9급(1)</t>
        </is>
      </c>
      <c r="J177" s="6" t="inlineStr"/>
    </row>
    <row r="178">
      <c r="A178" s="16" t="inlineStr">
        <is>
          <t>광주</t>
        </is>
      </c>
      <c r="B178" s="6" t="inlineStr">
        <is>
          <t>사무국</t>
        </is>
      </c>
      <c r="C178" s="6" t="inlineStr">
        <is>
          <t>사무국</t>
        </is>
      </c>
      <c r="D178" s="17" t="inlineStr">
        <is>
          <t>총무과</t>
        </is>
      </c>
      <c r="E178" s="16" t="inlineStr">
        <is>
          <t>4급</t>
        </is>
      </c>
      <c r="F178" s="6" t="inlineStr">
        <is>
          <t>시행규칙 §37 (§15 준용)</t>
        </is>
      </c>
      <c r="G178" s="6" t="inlineStr">
        <is>
          <t>1. 보안, 관인 및 관인대장 관리
2. 기록물 정리·분류·접수·발송·보존·이관·폐기·활용, 기록관 및 기록관리시스템 운영
3. 소속 공무원의 임용·교육훈련 등 인사관리
4. 복무·연금·급여 및 복리후생
5. 예산운영·회계 및 결산
6. 물품 관리 및 물품·용역·공사 계약
7. 차량 유지·운영
8. 민원, 국민신문고 및 정보공개제도 운영
9. 전산장비·자료 및 통신기기 운영·관리
10. 그 밖에 국 내 다른 과의 주관에 속하지 않는 사항</t>
        </is>
      </c>
      <c r="H178" s="6" t="inlineStr"/>
      <c r="I178" s="6" t="inlineStr"/>
      <c r="J178" s="6" t="inlineStr"/>
    </row>
    <row r="179">
      <c r="A179" s="16" t="inlineStr">
        <is>
          <t>광주</t>
        </is>
      </c>
      <c r="B179" s="6" t="inlineStr">
        <is>
          <t>사무국</t>
        </is>
      </c>
      <c r="C179" s="6" t="inlineStr">
        <is>
          <t>사무국</t>
        </is>
      </c>
      <c r="D179" s="17" t="inlineStr">
        <is>
          <t>사건과</t>
        </is>
      </c>
      <c r="E179" s="16" t="inlineStr">
        <is>
          <t>4급</t>
        </is>
      </c>
      <c r="F179" s="6" t="inlineStr">
        <is>
          <t>시행규칙 §37 (§15 준용)</t>
        </is>
      </c>
      <c r="G179" s="6" t="inlineStr">
        <is>
          <t>1. 사건의 접수 및 처리
2. 영장
3. 청 소관 사건사무 및 정보보고
4. 진정·탄원·제보 등으로 내사사건 등록된 사건 처리
5. 사건통계
6. 경찰 등 다른 수사기관의 통보사건 접수 및 처리
7. 압수금품의 접수 및 처리
8. 압수금품의 보관·관리
9. 사건기록의 보존·관리</t>
        </is>
      </c>
      <c r="H179" s="6" t="inlineStr"/>
      <c r="I179" s="6" t="inlineStr"/>
      <c r="J179" s="6" t="inlineStr"/>
    </row>
    <row r="180">
      <c r="A180" s="16" t="inlineStr">
        <is>
          <t>광주</t>
        </is>
      </c>
      <c r="B180" s="6" t="inlineStr">
        <is>
          <t>사무국</t>
        </is>
      </c>
      <c r="C180" s="6" t="inlineStr">
        <is>
          <t>사무국</t>
        </is>
      </c>
      <c r="D180" s="17" t="inlineStr">
        <is>
          <t>수사지원과</t>
        </is>
      </c>
      <c r="E180" s="16" t="inlineStr">
        <is>
          <t>4급</t>
        </is>
      </c>
      <c r="F180" s="6" t="inlineStr">
        <is>
          <t>시행규칙 §37 (§15 준용)</t>
        </is>
      </c>
      <c r="G180" s="6" t="inlineStr">
        <is>
          <t>1. 청장이 명하는 중대범죄등 사건의 수사지원
2. 소재수사, 호송 등 수사지원
3. 수사지원 중 발생하는 범죄사건의 수사지원</t>
        </is>
      </c>
      <c r="H180" s="6" t="inlineStr"/>
      <c r="I180" s="6" t="inlineStr"/>
      <c r="J180" s="6" t="inlineStr"/>
    </row>
    <row r="181">
      <c r="A181" s="16" t="inlineStr">
        <is>
          <t>광주</t>
        </is>
      </c>
      <c r="B181" s="6" t="inlineStr">
        <is>
          <t>사무국</t>
        </is>
      </c>
      <c r="C181" s="6" t="inlineStr">
        <is>
          <t>사무국</t>
        </is>
      </c>
      <c r="D181" s="17" t="inlineStr">
        <is>
          <t>과학수사지원과</t>
        </is>
      </c>
      <c r="E181" s="16" t="inlineStr">
        <is>
          <t>4급</t>
        </is>
      </c>
      <c r="F181" s="6" t="inlineStr">
        <is>
          <t>시행규칙 §37 (§15 준용)</t>
        </is>
      </c>
      <c r="G181" s="6" t="inlineStr">
        <is>
          <t>1. 컴퓨터 등 정보처리장치·정보통신매체 관련 증거자료의 압수·수색 및 분석
2. 과학수사장비 운영</t>
        </is>
      </c>
      <c r="H181" s="6" t="inlineStr"/>
      <c r="I181" s="6" t="inlineStr"/>
      <c r="J181" s="6" t="inlineStr"/>
    </row>
  </sheetData>
  <autoFilter ref="A1:J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56" customWidth="1" min="4" max="4"/>
    <col width="40" customWidth="1" min="5" max="5"/>
  </cols>
  <sheetData>
    <row r="1" ht="22" customHeight="1">
      <c r="A1" s="4" t="inlineStr">
        <is>
          <t>청</t>
        </is>
      </c>
      <c r="B1" s="4" t="inlineStr">
        <is>
          <t>기관명</t>
        </is>
      </c>
      <c r="C1" s="4" t="inlineStr">
        <is>
          <t>위치(공고 기준)</t>
        </is>
      </c>
      <c r="D1" s="4" t="inlineStr">
        <is>
          <t>관할구역</t>
        </is>
      </c>
      <c r="E1" s="4" t="inlineStr">
        <is>
          <t>확인 필요</t>
        </is>
      </c>
    </row>
    <row r="2">
      <c r="A2" s="17" t="inlineStr">
        <is>
          <t>본청</t>
        </is>
      </c>
      <c r="B2" s="6" t="inlineStr">
        <is>
          <t>중대범죄수사청</t>
        </is>
      </c>
      <c r="C2" s="20" t="inlineStr">
        <is>
          <t>서울 중구 수표동 35-10, 르네스퀘어</t>
        </is>
      </c>
      <c r="D2" s="20" t="inlineStr">
        <is>
          <t>전국 (지방청 사무의 지휘·감독)</t>
        </is>
      </c>
      <c r="E2" s="6" t="inlineStr">
        <is>
          <t>—</t>
        </is>
      </c>
    </row>
    <row r="3">
      <c r="A3" s="17" t="inlineStr">
        <is>
          <t>서울</t>
        </is>
      </c>
      <c r="B3" s="6" t="inlineStr">
        <is>
          <t>서울지방중대범죄수사청</t>
        </is>
      </c>
      <c r="C3" s="20" t="inlineStr">
        <is>
          <t>서울 중구 수표동 35-10, 르네스퀘어</t>
        </is>
      </c>
      <c r="D3" s="20" t="inlineStr">
        <is>
          <t>서울특별시, 인천광역시, 경기도 북부 (의정부지방법원 관할 지역), 강원특별자치도</t>
        </is>
      </c>
      <c r="E3" s="6" t="inlineStr">
        <is>
          <t>직제 별표 1 원문 대조</t>
        </is>
      </c>
    </row>
    <row r="4">
      <c r="A4" s="17" t="inlineStr">
        <is>
          <t>수원</t>
        </is>
      </c>
      <c r="B4" s="6" t="inlineStr">
        <is>
          <t>수원지방중대범죄수사청</t>
        </is>
      </c>
      <c r="C4" s="20" t="inlineStr">
        <is>
          <t>경기 수원시 영통구 도청로 52, 경기신용보증재단 사옥</t>
        </is>
      </c>
      <c r="D4" s="20" t="inlineStr">
        <is>
          <t>경기도 남부 (수원지방법원 관할 지역)</t>
        </is>
      </c>
      <c r="E4" s="6" t="inlineStr">
        <is>
          <t>직제 별표 1 원문 대조</t>
        </is>
      </c>
    </row>
    <row r="5">
      <c r="A5" s="17" t="inlineStr">
        <is>
          <t>대전</t>
        </is>
      </c>
      <c r="B5" s="6" t="inlineStr">
        <is>
          <t>대전지방중대범죄수사청</t>
        </is>
      </c>
      <c r="C5" s="20" t="inlineStr">
        <is>
          <t>세종특별자치시 소재</t>
        </is>
      </c>
      <c r="D5" s="20" t="inlineStr">
        <is>
          <t>대전광역시, 세종특별자치시, 충청남도, 충청북도</t>
        </is>
      </c>
      <c r="E5" s="6" t="inlineStr">
        <is>
          <t>직제 별표 1 원문 대조</t>
        </is>
      </c>
    </row>
    <row r="6">
      <c r="A6" s="17" t="inlineStr">
        <is>
          <t>대구</t>
        </is>
      </c>
      <c r="B6" s="6" t="inlineStr">
        <is>
          <t>대구지방중대범죄수사청</t>
        </is>
      </c>
      <c r="C6" s="20" t="inlineStr">
        <is>
          <t>대구 남구 대명동 1795-3, 남산빌딩</t>
        </is>
      </c>
      <c r="D6" s="20" t="inlineStr">
        <is>
          <t>대구광역시, 경상북도</t>
        </is>
      </c>
      <c r="E6" s="6" t="inlineStr">
        <is>
          <t>직제 별표 1 원문 대조</t>
        </is>
      </c>
    </row>
    <row r="7">
      <c r="A7" s="17" t="inlineStr">
        <is>
          <t>부산</t>
        </is>
      </c>
      <c r="B7" s="6" t="inlineStr">
        <is>
          <t>부산지방중대범죄수사청</t>
        </is>
      </c>
      <c r="C7" s="20" t="inlineStr">
        <is>
          <t>부산 강서구 명지동 3595-2, 퍼스트월드 브라이튼</t>
        </is>
      </c>
      <c r="D7" s="20" t="inlineStr">
        <is>
          <t>부산광역시, 울산광역시, 경상남도</t>
        </is>
      </c>
      <c r="E7" s="6" t="inlineStr">
        <is>
          <t>직제 별표 1 원문 대조</t>
        </is>
      </c>
    </row>
    <row r="8">
      <c r="A8" s="17" t="inlineStr">
        <is>
          <t>광주</t>
        </is>
      </c>
      <c r="B8" s="6" t="inlineStr">
        <is>
          <t>광주지방중대범죄수사청</t>
        </is>
      </c>
      <c r="C8" s="20" t="inlineStr">
        <is>
          <t>전남광주통합특별시 북구 중흥동 712-3, 한경빌딩</t>
        </is>
      </c>
      <c r="D8" s="20" t="inlineStr">
        <is>
          <t>전남광주통합특별시, 전북특별자치도, 제주특별자치도</t>
        </is>
      </c>
      <c r="E8" s="6" t="inlineStr">
        <is>
          <t>직제 별표 1 원문 대조</t>
        </is>
      </c>
    </row>
    <row r="10">
      <c r="A10" s="15" t="inlineStr">
        <is>
          <t>관할구역은 직제 §19·별표 1이 정합니다. 업로드 자료에 별표가 없어 ‘각 고등법원 관할구역에 대응해 설치’ 원칙으로 정리했습니다. 청사 위치는 임대차 계약에 따라 바뀔 수 있습니다(공고 2.).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8" customWidth="1" min="3" max="3"/>
    <col width="52" customWidth="1" min="4" max="4"/>
    <col width="16" customWidth="1" min="5" max="5"/>
    <col width="9" customWidth="1" min="6" max="6"/>
    <col width="40" customWidth="1" min="7" max="7"/>
  </cols>
  <sheetData>
    <row r="1" ht="22" customHeight="1">
      <c r="A1" s="4" t="inlineStr">
        <is>
          <t>분류</t>
        </is>
      </c>
      <c r="B1" s="4" t="inlineStr">
        <is>
          <t>법령명</t>
        </is>
      </c>
      <c r="C1" s="4" t="inlineStr">
        <is>
          <t>중요도</t>
        </is>
      </c>
      <c r="D1" s="4" t="inlineStr">
        <is>
          <t>확인할 내용</t>
        </is>
      </c>
      <c r="E1" s="4" t="inlineStr">
        <is>
          <t>국가법령정보센터</t>
        </is>
      </c>
      <c r="F1" s="4" t="inlineStr">
        <is>
          <t>확인(○)</t>
        </is>
      </c>
      <c r="G1" s="4" t="inlineStr">
        <is>
          <t>메모</t>
        </is>
      </c>
    </row>
    <row r="2">
      <c r="A2" s="6" t="inlineStr">
        <is>
          <t>중수청 조직·운영</t>
        </is>
      </c>
      <c r="B2" s="17" t="inlineStr">
        <is>
          <t>중대범죄수사청 조직 및 운영에 관한 법률</t>
        </is>
      </c>
      <c r="C2" s="21" t="inlineStr">
        <is>
          <t>필수</t>
        </is>
      </c>
      <c r="D2" s="6" t="inlineStr">
        <is>
          <t>직무 범위(§2·§4), 인사(§16~§40), 직무수행(§41~§49), 벌칙</t>
        </is>
      </c>
      <c r="E2" s="22" t="inlineStr">
        <is>
          <t>검색 열기 ↗</t>
        </is>
      </c>
      <c r="F2" s="23" t="n"/>
      <c r="G2" s="24" t="n"/>
    </row>
    <row r="3">
      <c r="A3" s="6" t="inlineStr">
        <is>
          <t>중수청 조직·운영</t>
        </is>
      </c>
      <c r="B3" s="17" t="inlineStr">
        <is>
          <t>중대범죄수사청 조직 및 운영에 관한 법률 시행령</t>
        </is>
      </c>
      <c r="C3" s="21" t="inlineStr">
        <is>
          <t>필수</t>
        </is>
      </c>
      <c r="D3" s="6" t="inlineStr">
        <is>
          <t>직접관련 범죄, 이의제기, 인지 통보·이첩, 수사심의, 손실보상</t>
        </is>
      </c>
      <c r="E3" s="22" t="inlineStr">
        <is>
          <t>검색 열기 ↗</t>
        </is>
      </c>
      <c r="F3" s="23" t="n"/>
      <c r="G3" s="24" t="n"/>
    </row>
    <row r="4">
      <c r="A4" s="6" t="inlineStr">
        <is>
          <t>중수청 조직·운영</t>
        </is>
      </c>
      <c r="B4" s="17" t="inlineStr">
        <is>
          <t>중대범죄수사청과 그 소속기관 직제</t>
        </is>
      </c>
      <c r="C4" s="21" t="inlineStr">
        <is>
          <t>필수</t>
        </is>
      </c>
      <c r="D4" s="6" t="inlineStr">
        <is>
          <t>본청·지방청 하부조직, 관할구역(별표 1), 정원(별표 2·3)</t>
        </is>
      </c>
      <c r="E4" s="22" t="inlineStr">
        <is>
          <t>검색 열기 ↗</t>
        </is>
      </c>
      <c r="F4" s="23" t="n"/>
      <c r="G4" s="24" t="n"/>
    </row>
    <row r="5">
      <c r="A5" s="6" t="inlineStr">
        <is>
          <t>중수청 조직·운영</t>
        </is>
      </c>
      <c r="B5" s="17" t="inlineStr">
        <is>
          <t>중대범죄수사청과 그 소속기관 직제 시행규칙</t>
        </is>
      </c>
      <c r="C5" s="21" t="inlineStr">
        <is>
          <t>필수</t>
        </is>
      </c>
      <c r="D5" s="6" t="inlineStr">
        <is>
          <t>과·담당관 사무분장, 직급별 정원(별표 1·2)</t>
        </is>
      </c>
      <c r="E5" s="22" t="inlineStr">
        <is>
          <t>검색 열기 ↗</t>
        </is>
      </c>
      <c r="F5" s="23" t="n"/>
      <c r="G5" s="24" t="n"/>
    </row>
    <row r="6">
      <c r="A6" s="6" t="inlineStr">
        <is>
          <t>중수청 조직·운영</t>
        </is>
      </c>
      <c r="B6" s="17" t="inlineStr">
        <is>
          <t>중대범죄수사청수사관 임용령</t>
        </is>
      </c>
      <c r="C6" s="21" t="inlineStr">
        <is>
          <t>필수</t>
        </is>
      </c>
      <c r="D6" s="6" t="inlineStr">
        <is>
          <t>상당 계급, 임용권 위임, 시보·승진·전보</t>
        </is>
      </c>
      <c r="E6" s="22" t="inlineStr">
        <is>
          <t>검색 열기 ↗</t>
        </is>
      </c>
      <c r="F6" s="23" t="n"/>
      <c r="G6" s="24" t="n"/>
    </row>
    <row r="7">
      <c r="A7" s="6" t="inlineStr">
        <is>
          <t>중수청 조직·운영</t>
        </is>
      </c>
      <c r="B7" s="17" t="inlineStr">
        <is>
          <t>중대범죄수사청 개청준비단 설치 및 운영에 관한 규정</t>
        </is>
      </c>
      <c r="C7" s="25" t="inlineStr">
        <is>
          <t>참고</t>
        </is>
      </c>
      <c r="D7" s="6" t="inlineStr">
        <is>
          <t>국무총리훈령 제933호 · 개청 준비 경과</t>
        </is>
      </c>
      <c r="E7" s="22" t="inlineStr">
        <is>
          <t>검색 열기 ↗</t>
        </is>
      </c>
      <c r="F7" s="23" t="n"/>
      <c r="G7" s="24" t="n"/>
    </row>
    <row r="8">
      <c r="A8" s="6" t="inlineStr">
        <is>
          <t>인사·복무</t>
        </is>
      </c>
      <c r="B8" s="17" t="inlineStr">
        <is>
          <t>국가공무원법</t>
        </is>
      </c>
      <c r="C8" s="21" t="inlineStr">
        <is>
          <t>필수</t>
        </is>
      </c>
      <c r="D8" s="6" t="inlineStr">
        <is>
          <t>법 §40에 따라 일반직 규정 준용 · 결격(§33), 징계(제10장)</t>
        </is>
      </c>
      <c r="E8" s="22" t="inlineStr">
        <is>
          <t>검색 열기 ↗</t>
        </is>
      </c>
      <c r="F8" s="23" t="n"/>
      <c r="G8" s="24" t="n"/>
    </row>
    <row r="9">
      <c r="A9" s="6" t="inlineStr">
        <is>
          <t>인사·복무</t>
        </is>
      </c>
      <c r="B9" s="17" t="inlineStr">
        <is>
          <t>공무원임용령</t>
        </is>
      </c>
      <c r="C9" s="26" t="inlineStr">
        <is>
          <t>업무</t>
        </is>
      </c>
      <c r="D9" s="6" t="inlineStr">
        <is>
          <t>준용되는 임용 일반 원칙</t>
        </is>
      </c>
      <c r="E9" s="22" t="inlineStr">
        <is>
          <t>검색 열기 ↗</t>
        </is>
      </c>
      <c r="F9" s="23" t="n"/>
      <c r="G9" s="24" t="n"/>
    </row>
    <row r="10">
      <c r="A10" s="6" t="inlineStr">
        <is>
          <t>인사·복무</t>
        </is>
      </c>
      <c r="B10" s="17" t="inlineStr">
        <is>
          <t>국가공무원 복무규정</t>
        </is>
      </c>
      <c r="C10" s="21" t="inlineStr">
        <is>
          <t>필수</t>
        </is>
      </c>
      <c r="D10" s="6" t="inlineStr">
        <is>
          <t>근무시간, 휴가, 겸직, 복장</t>
        </is>
      </c>
      <c r="E10" s="22" t="inlineStr">
        <is>
          <t>검색 열기 ↗</t>
        </is>
      </c>
      <c r="F10" s="23" t="n"/>
      <c r="G10" s="24" t="n"/>
    </row>
    <row r="11">
      <c r="A11" s="6" t="inlineStr">
        <is>
          <t>인사·복무</t>
        </is>
      </c>
      <c r="B11" s="17" t="inlineStr">
        <is>
          <t>공무원 징계령</t>
        </is>
      </c>
      <c r="C11" s="26" t="inlineStr">
        <is>
          <t>업무</t>
        </is>
      </c>
      <c r="D11" s="6" t="inlineStr">
        <is>
          <t>징계 절차 일반</t>
        </is>
      </c>
      <c r="E11" s="22" t="inlineStr">
        <is>
          <t>검색 열기 ↗</t>
        </is>
      </c>
      <c r="F11" s="23" t="n"/>
      <c r="G11" s="24" t="n"/>
    </row>
    <row r="12">
      <c r="A12" s="6" t="inlineStr">
        <is>
          <t>인사·복무</t>
        </is>
      </c>
      <c r="B12" s="17" t="inlineStr">
        <is>
          <t>공무원 행동강령</t>
        </is>
      </c>
      <c r="C12" s="21" t="inlineStr">
        <is>
          <t>필수</t>
        </is>
      </c>
      <c r="D12" s="6" t="inlineStr">
        <is>
          <t>이해충돌, 부정청탁, 금품 수수</t>
        </is>
      </c>
      <c r="E12" s="22" t="inlineStr">
        <is>
          <t>검색 열기 ↗</t>
        </is>
      </c>
      <c r="F12" s="23" t="n"/>
      <c r="G12" s="24" t="n"/>
    </row>
    <row r="13">
      <c r="A13" s="6" t="inlineStr">
        <is>
          <t>인사·복무</t>
        </is>
      </c>
      <c r="B13" s="17" t="inlineStr">
        <is>
          <t>공직자의 이해충돌 방지법</t>
        </is>
      </c>
      <c r="C13" s="26" t="inlineStr">
        <is>
          <t>업무</t>
        </is>
      </c>
      <c r="D13" s="6" t="inlineStr">
        <is>
          <t>사적이해관계 신고, 직무관련자 거래</t>
        </is>
      </c>
      <c r="E13" s="22" t="inlineStr">
        <is>
          <t>검색 열기 ↗</t>
        </is>
      </c>
      <c r="F13" s="23" t="n"/>
      <c r="G13" s="24" t="n"/>
    </row>
    <row r="14">
      <c r="A14" s="6" t="inlineStr">
        <is>
          <t>인사·복무</t>
        </is>
      </c>
      <c r="B14" s="17" t="inlineStr">
        <is>
          <t>부정청탁 및 금품등 수수의 금지에 관한 법률</t>
        </is>
      </c>
      <c r="C14" s="26" t="inlineStr">
        <is>
          <t>업무</t>
        </is>
      </c>
      <c r="D14" s="6" t="inlineStr">
        <is>
          <t>청탁금지법</t>
        </is>
      </c>
      <c r="E14" s="22" t="inlineStr">
        <is>
          <t>검색 열기 ↗</t>
        </is>
      </c>
      <c r="F14" s="23" t="n"/>
      <c r="G14" s="24" t="n"/>
    </row>
    <row r="15">
      <c r="A15" s="6" t="inlineStr">
        <is>
          <t>인사·복무</t>
        </is>
      </c>
      <c r="B15" s="17" t="inlineStr">
        <is>
          <t>공직자윤리법</t>
        </is>
      </c>
      <c r="C15" s="26" t="inlineStr">
        <is>
          <t>업무</t>
        </is>
      </c>
      <c r="D15" s="6" t="inlineStr">
        <is>
          <t>재산등록, 퇴직공직자 취업제한</t>
        </is>
      </c>
      <c r="E15" s="22" t="inlineStr">
        <is>
          <t>검색 열기 ↗</t>
        </is>
      </c>
      <c r="F15" s="23" t="n"/>
      <c r="G15" s="24" t="n"/>
    </row>
    <row r="16">
      <c r="A16" s="6" t="inlineStr">
        <is>
          <t>인사·복무</t>
        </is>
      </c>
      <c r="B16" s="17" t="inlineStr">
        <is>
          <t>공무원보수규정</t>
        </is>
      </c>
      <c r="C16" s="26" t="inlineStr">
        <is>
          <t>업무</t>
        </is>
      </c>
      <c r="D16" s="6" t="inlineStr">
        <is>
          <t>봉급, 호봉 획정</t>
        </is>
      </c>
      <c r="E16" s="22" t="inlineStr">
        <is>
          <t>검색 열기 ↗</t>
        </is>
      </c>
      <c r="F16" s="23" t="n"/>
      <c r="G16" s="24" t="n"/>
    </row>
    <row r="17">
      <c r="A17" s="6" t="inlineStr">
        <is>
          <t>인사·복무</t>
        </is>
      </c>
      <c r="B17" s="17" t="inlineStr">
        <is>
          <t>공무원수당 등에 관한 규정</t>
        </is>
      </c>
      <c r="C17" s="25" t="inlineStr">
        <is>
          <t>참고</t>
        </is>
      </c>
      <c r="D17" s="6" t="inlineStr">
        <is>
          <t>수당</t>
        </is>
      </c>
      <c r="E17" s="22" t="inlineStr">
        <is>
          <t>검색 열기 ↗</t>
        </is>
      </c>
      <c r="F17" s="23" t="n"/>
      <c r="G17" s="24" t="n"/>
    </row>
    <row r="18">
      <c r="A18" s="6" t="inlineStr">
        <is>
          <t>인사·복무</t>
        </is>
      </c>
      <c r="B18" s="17" t="inlineStr">
        <is>
          <t>공무원연금법</t>
        </is>
      </c>
      <c r="C18" s="25" t="inlineStr">
        <is>
          <t>참고</t>
        </is>
      </c>
      <c r="D18" s="6" t="inlineStr">
        <is>
          <t>연금·재해보상</t>
        </is>
      </c>
      <c r="E18" s="22" t="inlineStr">
        <is>
          <t>검색 열기 ↗</t>
        </is>
      </c>
      <c r="F18" s="23" t="n"/>
      <c r="G18" s="24" t="n"/>
    </row>
    <row r="19">
      <c r="A19" s="6" t="inlineStr">
        <is>
          <t>인사·복무</t>
        </is>
      </c>
      <c r="B19" s="17" t="inlineStr">
        <is>
          <t>공무원 인사기록·통계 및 인사사무 처리 규정</t>
        </is>
      </c>
      <c r="C19" s="25" t="inlineStr">
        <is>
          <t>참고</t>
        </is>
      </c>
      <c r="D19" s="6" t="inlineStr">
        <is>
          <t>인사기록 이관(§10)</t>
        </is>
      </c>
      <c r="E19" s="22" t="inlineStr">
        <is>
          <t>검색 열기 ↗</t>
        </is>
      </c>
      <c r="F19" s="23" t="n"/>
      <c r="G19" s="24" t="n"/>
    </row>
    <row r="20">
      <c r="A20" s="6" t="inlineStr">
        <is>
          <t>인사·복무</t>
        </is>
      </c>
      <c r="B20" s="17" t="inlineStr">
        <is>
          <t>공무원 인재개발법</t>
        </is>
      </c>
      <c r="C20" s="25" t="inlineStr">
        <is>
          <t>참고</t>
        </is>
      </c>
      <c r="D20" s="6" t="inlineStr">
        <is>
          <t>교육훈련</t>
        </is>
      </c>
      <c r="E20" s="22" t="inlineStr">
        <is>
          <t>검색 열기 ↗</t>
        </is>
      </c>
      <c r="F20" s="23" t="n"/>
      <c r="G20" s="24" t="n"/>
    </row>
    <row r="21">
      <c r="A21" s="6" t="inlineStr">
        <is>
          <t>형사절차</t>
        </is>
      </c>
      <c r="B21" s="17" t="inlineStr">
        <is>
          <t>형사소송법</t>
        </is>
      </c>
      <c r="C21" s="21" t="inlineStr">
        <is>
          <t>필수</t>
        </is>
      </c>
      <c r="D21" s="6" t="inlineStr">
        <is>
          <t>§197(사법경찰관리), §197의2(보완수사 요구), §245의8(재수사 요구)</t>
        </is>
      </c>
      <c r="E21" s="22" t="inlineStr">
        <is>
          <t>검색 열기 ↗</t>
        </is>
      </c>
      <c r="F21" s="23" t="n"/>
      <c r="G21" s="24" t="n"/>
    </row>
    <row r="22">
      <c r="A22" s="6" t="inlineStr">
        <is>
          <t>형사절차</t>
        </is>
      </c>
      <c r="B22" s="17" t="inlineStr">
        <is>
          <t>형사소송규칙</t>
        </is>
      </c>
      <c r="C22" s="26" t="inlineStr">
        <is>
          <t>업무</t>
        </is>
      </c>
      <c r="D22" s="6" t="inlineStr">
        <is>
          <t>영장·증거 절차 세부</t>
        </is>
      </c>
      <c r="E22" s="22" t="inlineStr">
        <is>
          <t>검색 열기 ↗</t>
        </is>
      </c>
      <c r="F22" s="23" t="n"/>
      <c r="G22" s="24" t="n"/>
    </row>
    <row r="23">
      <c r="A23" s="6" t="inlineStr">
        <is>
          <t>형사절차</t>
        </is>
      </c>
      <c r="B23" s="17" t="inlineStr">
        <is>
          <t>검사와 사법경찰관의 상호협력과 일반적 수사준칙에 관한 규정</t>
        </is>
      </c>
      <c r="C23" s="21" t="inlineStr">
        <is>
          <t>필수</t>
        </is>
      </c>
      <c r="D23" s="6" t="inlineStr">
        <is>
          <t>수사준칙 · 공소청 체제에 맞춘 개정 여부 확인</t>
        </is>
      </c>
      <c r="E23" s="22" t="inlineStr">
        <is>
          <t>검색 열기 ↗</t>
        </is>
      </c>
      <c r="F23" s="23" t="n"/>
      <c r="G23" s="24" t="n"/>
    </row>
    <row r="24">
      <c r="A24" s="6" t="inlineStr">
        <is>
          <t>형사절차</t>
        </is>
      </c>
      <c r="B24" s="17" t="inlineStr">
        <is>
          <t>공소청법</t>
        </is>
      </c>
      <c r="C24" s="26" t="inlineStr">
        <is>
          <t>업무</t>
        </is>
      </c>
      <c r="D24" s="6" t="inlineStr">
        <is>
          <t>공소청과의 관계, 공소청법 부칙 §7(임용 특례)</t>
        </is>
      </c>
      <c r="E24" s="22" t="inlineStr">
        <is>
          <t>검색 열기 ↗</t>
        </is>
      </c>
      <c r="F24" s="23" t="n"/>
      <c r="G24" s="24" t="n"/>
    </row>
    <row r="25">
      <c r="A25" s="6" t="inlineStr">
        <is>
          <t>형사절차</t>
        </is>
      </c>
      <c r="B25" s="17" t="inlineStr">
        <is>
          <t>형사사법절차 전자화 촉진법</t>
        </is>
      </c>
      <c r="C25" s="26" t="inlineStr">
        <is>
          <t>업무</t>
        </is>
      </c>
      <c r="D25" s="6" t="inlineStr">
        <is>
          <t>KICS 근거</t>
        </is>
      </c>
      <c r="E25" s="22" t="inlineStr">
        <is>
          <t>검색 열기 ↗</t>
        </is>
      </c>
      <c r="F25" s="23" t="n"/>
      <c r="G25" s="24" t="n"/>
    </row>
    <row r="26">
      <c r="A26" s="6" t="inlineStr">
        <is>
          <t>형사절차</t>
        </is>
      </c>
      <c r="B26" s="17" t="inlineStr">
        <is>
          <t>통신비밀보호법</t>
        </is>
      </c>
      <c r="C26" s="26" t="inlineStr">
        <is>
          <t>업무</t>
        </is>
      </c>
      <c r="D26" s="6" t="inlineStr">
        <is>
          <t>통신제한조치, 통신사실확인자료</t>
        </is>
      </c>
      <c r="E26" s="22" t="inlineStr">
        <is>
          <t>검색 열기 ↗</t>
        </is>
      </c>
      <c r="F26" s="23" t="n"/>
      <c r="G26" s="24" t="n"/>
    </row>
    <row r="27">
      <c r="A27" s="6" t="inlineStr">
        <is>
          <t>형사절차</t>
        </is>
      </c>
      <c r="B27" s="17" t="inlineStr">
        <is>
          <t>범죄수익은닉의 규제 및 처벌 등에 관한 법률</t>
        </is>
      </c>
      <c r="C27" s="26" t="inlineStr">
        <is>
          <t>업무</t>
        </is>
      </c>
      <c r="D27" s="6" t="inlineStr">
        <is>
          <t>범죄수익 추적·몰수</t>
        </is>
      </c>
      <c r="E27" s="22" t="inlineStr">
        <is>
          <t>검색 열기 ↗</t>
        </is>
      </c>
      <c r="F27" s="23" t="n"/>
      <c r="G27" s="24" t="n"/>
    </row>
    <row r="28">
      <c r="A28" s="6" t="inlineStr">
        <is>
          <t>형사절차</t>
        </is>
      </c>
      <c r="B28" s="17" t="inlineStr">
        <is>
          <t>형의 집행 및 수용자의 처우에 관한 법률</t>
        </is>
      </c>
      <c r="C28" s="25" t="inlineStr">
        <is>
          <t>참고</t>
        </is>
      </c>
      <c r="D28" s="6" t="inlineStr">
        <is>
          <t>유치장 운영 관련</t>
        </is>
      </c>
      <c r="E28" s="22" t="inlineStr">
        <is>
          <t>검색 열기 ↗</t>
        </is>
      </c>
      <c r="F28" s="23" t="n"/>
      <c r="G28" s="24" t="n"/>
    </row>
    <row r="29">
      <c r="A29" s="6" t="inlineStr">
        <is>
          <t>중대범죄 실체법</t>
        </is>
      </c>
      <c r="B29" s="17" t="inlineStr">
        <is>
          <t>형법</t>
        </is>
      </c>
      <c r="C29" s="21" t="inlineStr">
        <is>
          <t>필수</t>
        </is>
      </c>
      <c r="D29" s="6" t="inlineStr">
        <is>
          <t>부패·경제·내란외환·공문서 범죄 조문</t>
        </is>
      </c>
      <c r="E29" s="22" t="inlineStr">
        <is>
          <t>검색 열기 ↗</t>
        </is>
      </c>
      <c r="F29" s="23" t="n"/>
      <c r="G29" s="24" t="n"/>
    </row>
    <row r="30">
      <c r="A30" s="6" t="inlineStr">
        <is>
          <t>중대범죄 실체법</t>
        </is>
      </c>
      <c r="B30" s="17" t="inlineStr">
        <is>
          <t>특정범죄 가중처벌 등에 관한 법률</t>
        </is>
      </c>
      <c r="C30" s="21" t="inlineStr">
        <is>
          <t>필수</t>
        </is>
      </c>
      <c r="D30" s="6" t="inlineStr">
        <is>
          <t>§2~§6, §8, §8의2, §11</t>
        </is>
      </c>
      <c r="E30" s="22" t="inlineStr">
        <is>
          <t>검색 열기 ↗</t>
        </is>
      </c>
      <c r="F30" s="23" t="n"/>
      <c r="G30" s="24" t="n"/>
    </row>
    <row r="31">
      <c r="A31" s="6" t="inlineStr">
        <is>
          <t>중대범죄 실체법</t>
        </is>
      </c>
      <c r="B31" s="17" t="inlineStr">
        <is>
          <t>특정경제범죄 가중처벌 등에 관한 법률</t>
        </is>
      </c>
      <c r="C31" s="21" t="inlineStr">
        <is>
          <t>필수</t>
        </is>
      </c>
      <c r="D31" s="6" t="inlineStr">
        <is>
          <t>§3~§9</t>
        </is>
      </c>
      <c r="E31" s="22" t="inlineStr">
        <is>
          <t>검색 열기 ↗</t>
        </is>
      </c>
      <c r="F31" s="23" t="n"/>
      <c r="G31" s="24" t="n"/>
    </row>
    <row r="32">
      <c r="A32" s="6" t="inlineStr">
        <is>
          <t>중대범죄 실체법</t>
        </is>
      </c>
      <c r="B32" s="17" t="inlineStr">
        <is>
          <t>자본시장과 금융투자업에 관한 법률</t>
        </is>
      </c>
      <c r="C32" s="26" t="inlineStr">
        <is>
          <t>업무</t>
        </is>
      </c>
      <c r="D32" s="6" t="inlineStr">
        <is>
          <t>금융·증권범죄</t>
        </is>
      </c>
      <c r="E32" s="22" t="inlineStr">
        <is>
          <t>검색 열기 ↗</t>
        </is>
      </c>
      <c r="F32" s="23" t="n"/>
      <c r="G32" s="24" t="n"/>
    </row>
    <row r="33">
      <c r="A33" s="6" t="inlineStr">
        <is>
          <t>중대범죄 실체법</t>
        </is>
      </c>
      <c r="B33" s="17" t="inlineStr">
        <is>
          <t>가상자산 이용자 보호 등에 관한 법률</t>
        </is>
      </c>
      <c r="C33" s="26" t="inlineStr">
        <is>
          <t>업무</t>
        </is>
      </c>
      <c r="D33" s="6" t="inlineStr">
        <is>
          <t>가상자산범죄</t>
        </is>
      </c>
      <c r="E33" s="22" t="inlineStr">
        <is>
          <t>검색 열기 ↗</t>
        </is>
      </c>
      <c r="F33" s="23" t="n"/>
      <c r="G33" s="24" t="n"/>
    </row>
    <row r="34">
      <c r="A34" s="6" t="inlineStr">
        <is>
          <t>중대범죄 실체법</t>
        </is>
      </c>
      <c r="B34" s="17" t="inlineStr">
        <is>
          <t>독점규제 및 공정거래에 관한 법률</t>
        </is>
      </c>
      <c r="C34" s="26" t="inlineStr">
        <is>
          <t>업무</t>
        </is>
      </c>
      <c r="D34" s="6" t="inlineStr">
        <is>
          <t>§124·§125</t>
        </is>
      </c>
      <c r="E34" s="22" t="inlineStr">
        <is>
          <t>검색 열기 ↗</t>
        </is>
      </c>
      <c r="F34" s="23" t="n"/>
      <c r="G34" s="24" t="n"/>
    </row>
    <row r="35">
      <c r="A35" s="6" t="inlineStr">
        <is>
          <t>중대범죄 실체법</t>
        </is>
      </c>
      <c r="B35" s="17" t="inlineStr">
        <is>
          <t>마약류 관리에 관한 법률</t>
        </is>
      </c>
      <c r="C35" s="26" t="inlineStr">
        <is>
          <t>업무</t>
        </is>
      </c>
      <c r="D35" s="6" t="inlineStr">
        <is>
          <t>마약범죄</t>
        </is>
      </c>
      <c r="E35" s="22" t="inlineStr">
        <is>
          <t>검색 열기 ↗</t>
        </is>
      </c>
      <c r="F35" s="23" t="n"/>
      <c r="G35" s="24" t="n"/>
    </row>
    <row r="36">
      <c r="A36" s="6" t="inlineStr">
        <is>
          <t>중대범죄 실체법</t>
        </is>
      </c>
      <c r="B36" s="17" t="inlineStr">
        <is>
          <t>전기통신금융사기 피해 방지 및 피해자산 환급에 관한 특별법</t>
        </is>
      </c>
      <c r="C36" s="26" t="inlineStr">
        <is>
          <t>업무</t>
        </is>
      </c>
      <c r="D36" s="6" t="inlineStr">
        <is>
          <t>보이스피싱</t>
        </is>
      </c>
      <c r="E36" s="22" t="inlineStr">
        <is>
          <t>검색 열기 ↗</t>
        </is>
      </c>
      <c r="F36" s="23" t="n"/>
      <c r="G36" s="24" t="n"/>
    </row>
    <row r="37">
      <c r="A37" s="6" t="inlineStr">
        <is>
          <t>중대범죄 실체법</t>
        </is>
      </c>
      <c r="B37" s="17" t="inlineStr">
        <is>
          <t>전자금융거래법</t>
        </is>
      </c>
      <c r="C37" s="26" t="inlineStr">
        <is>
          <t>업무</t>
        </is>
      </c>
      <c r="D37" s="6" t="inlineStr">
        <is>
          <t>보이스피싱·대포통장</t>
        </is>
      </c>
      <c r="E37" s="22" t="inlineStr">
        <is>
          <t>검색 열기 ↗</t>
        </is>
      </c>
      <c r="F37" s="23" t="n"/>
      <c r="G37" s="24" t="n"/>
    </row>
    <row r="38">
      <c r="A38" s="6" t="inlineStr">
        <is>
          <t>중대범죄 실체법</t>
        </is>
      </c>
      <c r="B38" s="17" t="inlineStr">
        <is>
          <t>방위산업기술 보호법</t>
        </is>
      </c>
      <c r="C38" s="26" t="inlineStr">
        <is>
          <t>업무</t>
        </is>
      </c>
      <c r="D38" s="6" t="inlineStr">
        <is>
          <t>방산기술 유출</t>
        </is>
      </c>
      <c r="E38" s="22" t="inlineStr">
        <is>
          <t>검색 열기 ↗</t>
        </is>
      </c>
      <c r="F38" s="23" t="n"/>
      <c r="G38" s="24" t="n"/>
    </row>
    <row r="39">
      <c r="A39" s="6" t="inlineStr">
        <is>
          <t>중대범죄 실체법</t>
        </is>
      </c>
      <c r="B39" s="17" t="inlineStr">
        <is>
          <t>군사기밀 보호법</t>
        </is>
      </c>
      <c r="C39" s="26" t="inlineStr">
        <is>
          <t>업무</t>
        </is>
      </c>
      <c r="D39" s="6" t="inlineStr">
        <is>
          <t>군사기밀 누설</t>
        </is>
      </c>
      <c r="E39" s="22" t="inlineStr">
        <is>
          <t>검색 열기 ↗</t>
        </is>
      </c>
      <c r="F39" s="23" t="n"/>
      <c r="G39" s="24" t="n"/>
    </row>
    <row r="40">
      <c r="A40" s="6" t="inlineStr">
        <is>
          <t>중대범죄 실체법</t>
        </is>
      </c>
      <c r="B40" s="17" t="inlineStr">
        <is>
          <t>산업기술의 유출방지 및 보호에 관한 법률</t>
        </is>
      </c>
      <c r="C40" s="26" t="inlineStr">
        <is>
          <t>업무</t>
        </is>
      </c>
      <c r="D40" s="6" t="inlineStr">
        <is>
          <t>§36~§38</t>
        </is>
      </c>
      <c r="E40" s="22" t="inlineStr">
        <is>
          <t>검색 열기 ↗</t>
        </is>
      </c>
      <c r="F40" s="23" t="n"/>
      <c r="G40" s="24" t="n"/>
    </row>
    <row r="41">
      <c r="A41" s="6" t="inlineStr">
        <is>
          <t>중대범죄 실체법</t>
        </is>
      </c>
      <c r="B41" s="17" t="inlineStr">
        <is>
          <t>부정경쟁방지 및 영업비밀보호에 관한 법률</t>
        </is>
      </c>
      <c r="C41" s="26" t="inlineStr">
        <is>
          <t>업무</t>
        </is>
      </c>
      <c r="D41" s="6" t="inlineStr">
        <is>
          <t>§18~§18의4</t>
        </is>
      </c>
      <c r="E41" s="22" t="inlineStr">
        <is>
          <t>검색 열기 ↗</t>
        </is>
      </c>
      <c r="F41" s="23" t="n"/>
      <c r="G41" s="24" t="n"/>
    </row>
    <row r="42">
      <c r="A42" s="6" t="inlineStr">
        <is>
          <t>중대범죄 실체법</t>
        </is>
      </c>
      <c r="B42" s="17" t="inlineStr">
        <is>
          <t>정보통신망 이용촉진 및 정보보호 등에 관한 법률</t>
        </is>
      </c>
      <c r="C42" s="26" t="inlineStr">
        <is>
          <t>업무</t>
        </is>
      </c>
      <c r="D42" s="6" t="inlineStr">
        <is>
          <t>§71①11~14호·②</t>
        </is>
      </c>
      <c r="E42" s="22" t="inlineStr">
        <is>
          <t>검색 열기 ↗</t>
        </is>
      </c>
      <c r="F42" s="23" t="n"/>
      <c r="G42" s="24" t="n"/>
    </row>
    <row r="43">
      <c r="A43" s="6" t="inlineStr">
        <is>
          <t>중대범죄 실체법</t>
        </is>
      </c>
      <c r="B43" s="17" t="inlineStr">
        <is>
          <t>재난 및 안전관리 기본법</t>
        </is>
      </c>
      <c r="C43" s="25" t="inlineStr">
        <is>
          <t>참고</t>
        </is>
      </c>
      <c r="D43" s="6" t="inlineStr">
        <is>
          <t>§3 12호 국가핵심기반 정의</t>
        </is>
      </c>
      <c r="E43" s="22" t="inlineStr">
        <is>
          <t>검색 열기 ↗</t>
        </is>
      </c>
      <c r="F43" s="23" t="n"/>
      <c r="G43" s="24" t="n"/>
    </row>
    <row r="44">
      <c r="A44" s="6" t="inlineStr">
        <is>
          <t>중대범죄 실체법</t>
        </is>
      </c>
      <c r="B44" s="17" t="inlineStr">
        <is>
          <t>변호사법</t>
        </is>
      </c>
      <c r="C44" s="26" t="inlineStr">
        <is>
          <t>업무</t>
        </is>
      </c>
      <c r="D44" s="6" t="inlineStr">
        <is>
          <t>§111 청탁·알선 명목 금품</t>
        </is>
      </c>
      <c r="E44" s="22" t="inlineStr">
        <is>
          <t>검색 열기 ↗</t>
        </is>
      </c>
      <c r="F44" s="23" t="n"/>
      <c r="G44" s="24" t="n"/>
    </row>
    <row r="45">
      <c r="A45" s="6" t="inlineStr">
        <is>
          <t>중대범죄 실체법</t>
        </is>
      </c>
      <c r="B45" s="17" t="inlineStr">
        <is>
          <t>정치자금법</t>
        </is>
      </c>
      <c r="C45" s="26" t="inlineStr">
        <is>
          <t>업무</t>
        </is>
      </c>
      <c r="D45" s="6" t="inlineStr">
        <is>
          <t>§45</t>
        </is>
      </c>
      <c r="E45" s="22" t="inlineStr">
        <is>
          <t>검색 열기 ↗</t>
        </is>
      </c>
      <c r="F45" s="23" t="n"/>
      <c r="G45" s="24" t="n"/>
    </row>
    <row r="46">
      <c r="A46" s="6" t="inlineStr">
        <is>
          <t>중대범죄 실체법</t>
        </is>
      </c>
      <c r="B46" s="17" t="inlineStr">
        <is>
          <t>국가정보원법</t>
        </is>
      </c>
      <c r="C46" s="25" t="inlineStr">
        <is>
          <t>참고</t>
        </is>
      </c>
      <c r="D46" s="6" t="inlineStr">
        <is>
          <t>§21·§22</t>
        </is>
      </c>
      <c r="E46" s="22" t="inlineStr">
        <is>
          <t>검색 열기 ↗</t>
        </is>
      </c>
      <c r="F46" s="23" t="n"/>
      <c r="G46" s="24" t="n"/>
    </row>
    <row r="47">
      <c r="A47" s="6" t="inlineStr">
        <is>
          <t>중대범죄 실체법</t>
        </is>
      </c>
      <c r="B47" s="17" t="inlineStr">
        <is>
          <t>국회에서의 증언ㆍ감정 등에 관한 법률</t>
        </is>
      </c>
      <c r="C47" s="25" t="inlineStr">
        <is>
          <t>참고</t>
        </is>
      </c>
      <c r="D47" s="6" t="inlineStr">
        <is>
          <t>§14① 위증</t>
        </is>
      </c>
      <c r="E47" s="22" t="inlineStr">
        <is>
          <t>검색 열기 ↗</t>
        </is>
      </c>
      <c r="F47" s="23" t="n"/>
      <c r="G47" s="24" t="n"/>
    </row>
    <row r="48">
      <c r="A48" s="6" t="inlineStr">
        <is>
          <t>조직·유관기관</t>
        </is>
      </c>
      <c r="B48" s="17" t="inlineStr">
        <is>
          <t>정부조직법</t>
        </is>
      </c>
      <c r="C48" s="26" t="inlineStr">
        <is>
          <t>업무</t>
        </is>
      </c>
      <c r="D48" s="6" t="inlineStr">
        <is>
          <t>행정안전부 소속 중수청의 지위</t>
        </is>
      </c>
      <c r="E48" s="22" t="inlineStr">
        <is>
          <t>검색 열기 ↗</t>
        </is>
      </c>
      <c r="F48" s="23" t="n"/>
      <c r="G48" s="24" t="n"/>
    </row>
    <row r="49">
      <c r="A49" s="6" t="inlineStr">
        <is>
          <t>조직·유관기관</t>
        </is>
      </c>
      <c r="B49" s="17" t="inlineStr">
        <is>
          <t>고위공직자범죄수사처 설치 및 운영에 관한 법률</t>
        </is>
      </c>
      <c r="C49" s="26" t="inlineStr">
        <is>
          <t>업무</t>
        </is>
      </c>
      <c r="D49" s="6" t="inlineStr">
        <is>
          <t>공수처 이첩(법 §43③ 단서)</t>
        </is>
      </c>
      <c r="E49" s="22" t="inlineStr">
        <is>
          <t>검색 열기 ↗</t>
        </is>
      </c>
      <c r="F49" s="23" t="n"/>
      <c r="G49" s="24" t="n"/>
    </row>
    <row r="50">
      <c r="A50" s="6" t="inlineStr">
        <is>
          <t>조직·유관기관</t>
        </is>
      </c>
      <c r="B50" s="17" t="inlineStr">
        <is>
          <t>국가경찰과 자치경찰의 조직 및 운영에 관한 법률</t>
        </is>
      </c>
      <c r="C50" s="26" t="inlineStr">
        <is>
          <t>업무</t>
        </is>
      </c>
      <c r="D50" s="6" t="inlineStr">
        <is>
          <t>국가수사본부와의 협력</t>
        </is>
      </c>
      <c r="E50" s="22" t="inlineStr">
        <is>
          <t>검색 열기 ↗</t>
        </is>
      </c>
      <c r="F50" s="23" t="n"/>
      <c r="G50" s="24" t="n"/>
    </row>
    <row r="51">
      <c r="A51" s="6" t="inlineStr">
        <is>
          <t>조직·유관기관</t>
        </is>
      </c>
      <c r="B51" s="17" t="inlineStr">
        <is>
          <t>행정기관의 조직과 정원에 관한 통칙</t>
        </is>
      </c>
      <c r="C51" s="25" t="inlineStr">
        <is>
          <t>참고</t>
        </is>
      </c>
      <c r="D51" s="6" t="inlineStr">
        <is>
          <t>보좌·보조기관, 평가대상 조직</t>
        </is>
      </c>
      <c r="E51" s="22" t="inlineStr">
        <is>
          <t>검색 열기 ↗</t>
        </is>
      </c>
      <c r="F51" s="23" t="n"/>
      <c r="G51" s="24" t="n"/>
    </row>
    <row r="52">
      <c r="A52" s="6" t="inlineStr">
        <is>
          <t>조직·유관기관</t>
        </is>
      </c>
      <c r="B52" s="17" t="inlineStr">
        <is>
          <t>비상대비에 관한 법률</t>
        </is>
      </c>
      <c r="C52" s="25" t="inlineStr">
        <is>
          <t>참고</t>
        </is>
      </c>
      <c r="D52" s="6" t="inlineStr">
        <is>
          <t>비상안전담당관(§12의2)</t>
        </is>
      </c>
      <c r="E52" s="22" t="inlineStr">
        <is>
          <t>검색 열기 ↗</t>
        </is>
      </c>
      <c r="F52" s="23" t="n"/>
      <c r="G52" s="24" t="n"/>
    </row>
    <row r="53">
      <c r="A53" s="6" t="inlineStr">
        <is>
          <t>개인정보·민원·정보공개</t>
        </is>
      </c>
      <c r="B53" s="17" t="inlineStr">
        <is>
          <t>개인정보 보호법</t>
        </is>
      </c>
      <c r="C53" s="21" t="inlineStr">
        <is>
          <t>필수</t>
        </is>
      </c>
      <c r="D53" s="6" t="inlineStr">
        <is>
          <t>수사 중 개인정보 처리, 국외 이전(법 §49와 함께)</t>
        </is>
      </c>
      <c r="E53" s="22" t="inlineStr">
        <is>
          <t>검색 열기 ↗</t>
        </is>
      </c>
      <c r="F53" s="23" t="n"/>
      <c r="G53" s="24" t="n"/>
    </row>
    <row r="54">
      <c r="A54" s="6" t="inlineStr">
        <is>
          <t>개인정보·민원·정보공개</t>
        </is>
      </c>
      <c r="B54" s="17" t="inlineStr">
        <is>
          <t>공공기관의 정보공개에 관한 법률</t>
        </is>
      </c>
      <c r="C54" s="26" t="inlineStr">
        <is>
          <t>업무</t>
        </is>
      </c>
      <c r="D54" s="6" t="inlineStr">
        <is>
          <t>기록 열람·공개 청구</t>
        </is>
      </c>
      <c r="E54" s="22" t="inlineStr">
        <is>
          <t>검색 열기 ↗</t>
        </is>
      </c>
      <c r="F54" s="23" t="n"/>
      <c r="G54" s="24" t="n"/>
    </row>
    <row r="55">
      <c r="A55" s="6" t="inlineStr">
        <is>
          <t>개인정보·민원·정보공개</t>
        </is>
      </c>
      <c r="B55" s="17" t="inlineStr">
        <is>
          <t>민원 처리에 관한 법률</t>
        </is>
      </c>
      <c r="C55" s="25" t="inlineStr">
        <is>
          <t>참고</t>
        </is>
      </c>
      <c r="D55" s="6" t="inlineStr">
        <is>
          <t>손실보상 청구 처리 등</t>
        </is>
      </c>
      <c r="E55" s="22" t="inlineStr">
        <is>
          <t>검색 열기 ↗</t>
        </is>
      </c>
      <c r="F55" s="23" t="n"/>
      <c r="G55" s="24" t="n"/>
    </row>
    <row r="56">
      <c r="A56" s="6" t="inlineStr">
        <is>
          <t>개인정보·민원·정보공개</t>
        </is>
      </c>
      <c r="B56" s="17" t="inlineStr">
        <is>
          <t>범죄피해자 보호법</t>
        </is>
      </c>
      <c r="C56" s="26" t="inlineStr">
        <is>
          <t>업무</t>
        </is>
      </c>
      <c r="D56" s="6" t="inlineStr">
        <is>
          <t>피해자 보호·지원</t>
        </is>
      </c>
      <c r="E56" s="22" t="inlineStr">
        <is>
          <t>검색 열기 ↗</t>
        </is>
      </c>
      <c r="F56" s="23" t="n"/>
      <c r="G56" s="24" t="n"/>
    </row>
    <row r="58">
      <c r="B58" s="17" t="inlineStr">
        <is>
          <t>확인 진행률</t>
        </is>
      </c>
      <c r="C58" s="5">
        <f>COUNTIF(F2:F56,"○")&amp;" / "&amp;COUNTA(B2:B56)</f>
        <v/>
      </c>
    </row>
    <row r="59">
      <c r="B59" s="17" t="inlineStr">
        <is>
          <t>필수 법령 확인</t>
        </is>
      </c>
      <c r="C59" s="5">
        <f>COUNTIFS(C2:C56,"필수",F2:F56,"○")&amp;" / "&amp;COUNTIF(C2:C56,"필수")</f>
        <v/>
      </c>
    </row>
  </sheetData>
  <autoFilter ref="A1:G56"/>
  <dataValidations count="2">
    <dataValidation sqref="F2:F56" showDropDown="0" showInputMessage="0" showErrorMessage="0" allowBlank="1" type="list">
      <formula1>"○"</formula1>
    </dataValidation>
    <dataValidation sqref="C2:C156" showDropDown="0" showInputMessage="0" showErrorMessage="0" allowBlank="1" type="list">
      <formula1>"필수,업무,참고"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48" customWidth="1" min="4" max="4"/>
    <col width="60" customWidth="1" min="5" max="5"/>
    <col width="12" customWidth="1" min="6" max="6"/>
  </cols>
  <sheetData>
    <row r="1" ht="22" customHeight="1">
      <c r="A1" s="4" t="inlineStr">
        <is>
          <t>이름</t>
        </is>
      </c>
      <c r="B1" s="4" t="inlineStr">
        <is>
          <t>분류</t>
        </is>
      </c>
      <c r="C1" s="4" t="inlineStr">
        <is>
          <t>관련 분야</t>
        </is>
      </c>
      <c r="D1" s="4" t="inlineStr">
        <is>
          <t>링크</t>
        </is>
      </c>
      <c r="E1" s="4" t="inlineStr">
        <is>
          <t>핵심 조문·메모</t>
        </is>
      </c>
      <c r="F1" s="4" t="inlineStr">
        <is>
          <t>등록일</t>
        </is>
      </c>
    </row>
    <row r="2">
      <c r="A2" s="27" t="inlineStr">
        <is>
          <t>(예시) 검사와 사법경찰관의 상호협력과 일반적 수사준칙에 관한 규정</t>
        </is>
      </c>
      <c r="B2" s="27" t="inlineStr">
        <is>
          <t>대통령령</t>
        </is>
      </c>
      <c r="C2" s="27" t="inlineStr">
        <is>
          <t>형사절차</t>
        </is>
      </c>
      <c r="D2" s="27" t="inlineStr">
        <is>
          <t>https://www.law.go.kr/lsSc.do?menuId=1&amp;query=%EA%B2%80%EC%82%AC%EC%99%80%20%EC%82%AC%EB%B2%95%EA%B2%BD%EC%B0%B0%EA%B4%80%EC%9D%98%20%EC%83%81%ED%98%B8%ED%98%91%EB%A0%A5%EA%B3%BC%20%EC%9D%BC%EB%B0%98%EC%A0%81%20%EC%88%98%EC%82%AC%EC%A4%80%EC%B9%99%EC%97%90%20%EA%B4%80%ED%95%9C%20%EA%B7%9C%EC%A0%95</t>
        </is>
      </c>
      <c r="E2" s="27" t="inlineStr">
        <is>
          <t>공소청 체제에 맞춘 개정 여부 확인 필요. 보완수사 요구 관련 조문 표시.</t>
        </is>
      </c>
      <c r="F2" s="27" t="inlineStr">
        <is>
          <t>2026-10-02</t>
        </is>
      </c>
    </row>
    <row r="3">
      <c r="A3" s="24" t="n"/>
      <c r="B3" s="24" t="n"/>
      <c r="C3" s="24" t="n"/>
      <c r="D3" s="24" t="n"/>
      <c r="E3" s="24" t="n"/>
      <c r="F3" s="24" t="n"/>
    </row>
    <row r="4">
      <c r="A4" s="24" t="n"/>
      <c r="B4" s="24" t="n"/>
      <c r="C4" s="24" t="n"/>
      <c r="D4" s="24" t="n"/>
      <c r="E4" s="24" t="n"/>
      <c r="F4" s="24" t="n"/>
    </row>
    <row r="5">
      <c r="A5" s="24" t="n"/>
      <c r="B5" s="24" t="n"/>
      <c r="C5" s="24" t="n"/>
      <c r="D5" s="24" t="n"/>
      <c r="E5" s="24" t="n"/>
      <c r="F5" s="24" t="n"/>
    </row>
    <row r="6">
      <c r="A6" s="24" t="n"/>
      <c r="B6" s="24" t="n"/>
      <c r="C6" s="24" t="n"/>
      <c r="D6" s="24" t="n"/>
      <c r="E6" s="24" t="n"/>
      <c r="F6" s="24" t="n"/>
    </row>
    <row r="7">
      <c r="A7" s="24" t="n"/>
      <c r="B7" s="24" t="n"/>
      <c r="C7" s="24" t="n"/>
      <c r="D7" s="24" t="n"/>
      <c r="E7" s="24" t="n"/>
      <c r="F7" s="24" t="n"/>
    </row>
    <row r="8">
      <c r="A8" s="24" t="n"/>
      <c r="B8" s="24" t="n"/>
      <c r="C8" s="24" t="n"/>
      <c r="D8" s="24" t="n"/>
      <c r="E8" s="24" t="n"/>
      <c r="F8" s="24" t="n"/>
    </row>
    <row r="9">
      <c r="A9" s="24" t="n"/>
      <c r="B9" s="24" t="n"/>
      <c r="C9" s="24" t="n"/>
      <c r="D9" s="24" t="n"/>
      <c r="E9" s="24" t="n"/>
      <c r="F9" s="24" t="n"/>
    </row>
    <row r="10">
      <c r="A10" s="24" t="n"/>
      <c r="B10" s="24" t="n"/>
      <c r="C10" s="24" t="n"/>
      <c r="D10" s="24" t="n"/>
      <c r="E10" s="24" t="n"/>
      <c r="F10" s="24" t="n"/>
    </row>
    <row r="11">
      <c r="A11" s="24" t="n"/>
      <c r="B11" s="24" t="n"/>
      <c r="C11" s="24" t="n"/>
      <c r="D11" s="24" t="n"/>
      <c r="E11" s="24" t="n"/>
      <c r="F11" s="24" t="n"/>
    </row>
    <row r="12">
      <c r="A12" s="24" t="n"/>
      <c r="B12" s="24" t="n"/>
      <c r="C12" s="24" t="n"/>
      <c r="D12" s="24" t="n"/>
      <c r="E12" s="24" t="n"/>
      <c r="F12" s="24" t="n"/>
    </row>
    <row r="13">
      <c r="A13" s="24" t="n"/>
      <c r="B13" s="24" t="n"/>
      <c r="C13" s="24" t="n"/>
      <c r="D13" s="24" t="n"/>
      <c r="E13" s="24" t="n"/>
      <c r="F13" s="24" t="n"/>
    </row>
    <row r="14">
      <c r="A14" s="24" t="n"/>
      <c r="B14" s="24" t="n"/>
      <c r="C14" s="24" t="n"/>
      <c r="D14" s="24" t="n"/>
      <c r="E14" s="24" t="n"/>
      <c r="F14" s="24" t="n"/>
    </row>
    <row r="15">
      <c r="A15" s="24" t="n"/>
      <c r="B15" s="24" t="n"/>
      <c r="C15" s="24" t="n"/>
      <c r="D15" s="24" t="n"/>
      <c r="E15" s="24" t="n"/>
      <c r="F15" s="24" t="n"/>
    </row>
    <row r="16">
      <c r="A16" s="24" t="n"/>
      <c r="B16" s="24" t="n"/>
      <c r="C16" s="24" t="n"/>
      <c r="D16" s="24" t="n"/>
      <c r="E16" s="24" t="n"/>
      <c r="F16" s="24" t="n"/>
    </row>
    <row r="17">
      <c r="A17" s="24" t="n"/>
      <c r="B17" s="24" t="n"/>
      <c r="C17" s="24" t="n"/>
      <c r="D17" s="24" t="n"/>
      <c r="E17" s="24" t="n"/>
      <c r="F17" s="24" t="n"/>
    </row>
    <row r="18">
      <c r="A18" s="24" t="n"/>
      <c r="B18" s="24" t="n"/>
      <c r="C18" s="24" t="n"/>
      <c r="D18" s="24" t="n"/>
      <c r="E18" s="24" t="n"/>
      <c r="F18" s="24" t="n"/>
    </row>
    <row r="19">
      <c r="A19" s="24" t="n"/>
      <c r="B19" s="24" t="n"/>
      <c r="C19" s="24" t="n"/>
      <c r="D19" s="24" t="n"/>
      <c r="E19" s="24" t="n"/>
      <c r="F19" s="24" t="n"/>
    </row>
    <row r="20">
      <c r="A20" s="24" t="n"/>
      <c r="B20" s="24" t="n"/>
      <c r="C20" s="24" t="n"/>
      <c r="D20" s="24" t="n"/>
      <c r="E20" s="24" t="n"/>
      <c r="F20" s="24" t="n"/>
    </row>
    <row r="21">
      <c r="A21" s="24" t="n"/>
      <c r="B21" s="24" t="n"/>
      <c r="C21" s="24" t="n"/>
      <c r="D21" s="24" t="n"/>
      <c r="E21" s="24" t="n"/>
      <c r="F21" s="24" t="n"/>
    </row>
    <row r="22">
      <c r="A22" s="24" t="n"/>
      <c r="B22" s="24" t="n"/>
      <c r="C22" s="24" t="n"/>
      <c r="D22" s="24" t="n"/>
      <c r="E22" s="24" t="n"/>
      <c r="F22" s="24" t="n"/>
    </row>
    <row r="23">
      <c r="A23" s="24" t="n"/>
      <c r="B23" s="24" t="n"/>
      <c r="C23" s="24" t="n"/>
      <c r="D23" s="24" t="n"/>
      <c r="E23" s="24" t="n"/>
      <c r="F23" s="24" t="n"/>
    </row>
    <row r="24">
      <c r="A24" s="24" t="n"/>
      <c r="B24" s="24" t="n"/>
      <c r="C24" s="24" t="n"/>
      <c r="D24" s="24" t="n"/>
      <c r="E24" s="24" t="n"/>
      <c r="F24" s="24" t="n"/>
    </row>
    <row r="25">
      <c r="A25" s="24" t="n"/>
      <c r="B25" s="24" t="n"/>
      <c r="C25" s="24" t="n"/>
      <c r="D25" s="24" t="n"/>
      <c r="E25" s="24" t="n"/>
      <c r="F25" s="24" t="n"/>
    </row>
    <row r="26">
      <c r="A26" s="24" t="n"/>
      <c r="B26" s="24" t="n"/>
      <c r="C26" s="24" t="n"/>
      <c r="D26" s="24" t="n"/>
      <c r="E26" s="24" t="n"/>
      <c r="F26" s="24" t="n"/>
    </row>
    <row r="27">
      <c r="A27" s="24" t="n"/>
      <c r="B27" s="24" t="n"/>
      <c r="C27" s="24" t="n"/>
      <c r="D27" s="24" t="n"/>
      <c r="E27" s="24" t="n"/>
      <c r="F27" s="24" t="n"/>
    </row>
    <row r="28">
      <c r="A28" s="24" t="n"/>
      <c r="B28" s="24" t="n"/>
      <c r="C28" s="24" t="n"/>
      <c r="D28" s="24" t="n"/>
      <c r="E28" s="24" t="n"/>
      <c r="F28" s="24" t="n"/>
    </row>
    <row r="29">
      <c r="A29" s="24" t="n"/>
      <c r="B29" s="24" t="n"/>
      <c r="C29" s="24" t="n"/>
      <c r="D29" s="24" t="n"/>
      <c r="E29" s="24" t="n"/>
      <c r="F29" s="24" t="n"/>
    </row>
    <row r="30">
      <c r="A30" s="24" t="n"/>
      <c r="B30" s="24" t="n"/>
      <c r="C30" s="24" t="n"/>
      <c r="D30" s="24" t="n"/>
      <c r="E30" s="24" t="n"/>
      <c r="F30" s="24" t="n"/>
    </row>
    <row r="31">
      <c r="A31" s="24" t="n"/>
      <c r="B31" s="24" t="n"/>
      <c r="C31" s="24" t="n"/>
      <c r="D31" s="24" t="n"/>
      <c r="E31" s="24" t="n"/>
      <c r="F31" s="24" t="n"/>
    </row>
    <row r="32">
      <c r="A32" s="24" t="n"/>
      <c r="B32" s="24" t="n"/>
      <c r="C32" s="24" t="n"/>
      <c r="D32" s="24" t="n"/>
      <c r="E32" s="24" t="n"/>
      <c r="F32" s="24" t="n"/>
    </row>
    <row r="33">
      <c r="A33" s="24" t="n"/>
      <c r="B33" s="24" t="n"/>
      <c r="C33" s="24" t="n"/>
      <c r="D33" s="24" t="n"/>
      <c r="E33" s="24" t="n"/>
      <c r="F33" s="24" t="n"/>
    </row>
    <row r="34">
      <c r="A34" s="24" t="n"/>
      <c r="B34" s="24" t="n"/>
      <c r="C34" s="24" t="n"/>
      <c r="D34" s="24" t="n"/>
      <c r="E34" s="24" t="n"/>
      <c r="F34" s="24" t="n"/>
    </row>
    <row r="35">
      <c r="A35" s="24" t="n"/>
      <c r="B35" s="24" t="n"/>
      <c r="C35" s="24" t="n"/>
      <c r="D35" s="24" t="n"/>
      <c r="E35" s="24" t="n"/>
      <c r="F35" s="24" t="n"/>
    </row>
    <row r="36">
      <c r="A36" s="24" t="n"/>
      <c r="B36" s="24" t="n"/>
      <c r="C36" s="24" t="n"/>
      <c r="D36" s="24" t="n"/>
      <c r="E36" s="24" t="n"/>
      <c r="F36" s="24" t="n"/>
    </row>
    <row r="37">
      <c r="A37" s="24" t="n"/>
      <c r="B37" s="24" t="n"/>
      <c r="C37" s="24" t="n"/>
      <c r="D37" s="24" t="n"/>
      <c r="E37" s="24" t="n"/>
      <c r="F37" s="24" t="n"/>
    </row>
    <row r="38">
      <c r="A38" s="24" t="n"/>
      <c r="B38" s="24" t="n"/>
      <c r="C38" s="24" t="n"/>
      <c r="D38" s="24" t="n"/>
      <c r="E38" s="24" t="n"/>
      <c r="F38" s="24" t="n"/>
    </row>
    <row r="39">
      <c r="A39" s="24" t="n"/>
      <c r="B39" s="24" t="n"/>
      <c r="C39" s="24" t="n"/>
      <c r="D39" s="24" t="n"/>
      <c r="E39" s="24" t="n"/>
      <c r="F39" s="24" t="n"/>
    </row>
    <row r="40">
      <c r="A40" s="24" t="n"/>
      <c r="B40" s="24" t="n"/>
      <c r="C40" s="24" t="n"/>
      <c r="D40" s="24" t="n"/>
      <c r="E40" s="24" t="n"/>
      <c r="F40" s="24" t="n"/>
    </row>
    <row r="41">
      <c r="A41" s="24" t="n"/>
      <c r="B41" s="24" t="n"/>
      <c r="C41" s="24" t="n"/>
      <c r="D41" s="24" t="n"/>
      <c r="E41" s="24" t="n"/>
      <c r="F41" s="24" t="n"/>
    </row>
    <row r="42">
      <c r="A42" s="24" t="n"/>
      <c r="B42" s="24" t="n"/>
      <c r="C42" s="24" t="n"/>
      <c r="D42" s="24" t="n"/>
      <c r="E42" s="24" t="n"/>
      <c r="F42" s="24" t="n"/>
    </row>
    <row r="43">
      <c r="A43" s="24" t="n"/>
      <c r="B43" s="24" t="n"/>
      <c r="C43" s="24" t="n"/>
      <c r="D43" s="24" t="n"/>
      <c r="E43" s="24" t="n"/>
      <c r="F43" s="24" t="n"/>
    </row>
    <row r="44">
      <c r="A44" s="24" t="n"/>
      <c r="B44" s="24" t="n"/>
      <c r="C44" s="24" t="n"/>
      <c r="D44" s="24" t="n"/>
      <c r="E44" s="24" t="n"/>
      <c r="F44" s="24" t="n"/>
    </row>
    <row r="45">
      <c r="A45" s="24" t="n"/>
      <c r="B45" s="24" t="n"/>
      <c r="C45" s="24" t="n"/>
      <c r="D45" s="24" t="n"/>
      <c r="E45" s="24" t="n"/>
      <c r="F45" s="24" t="n"/>
    </row>
    <row r="46">
      <c r="A46" s="24" t="n"/>
      <c r="B46" s="24" t="n"/>
      <c r="C46" s="24" t="n"/>
      <c r="D46" s="24" t="n"/>
      <c r="E46" s="24" t="n"/>
      <c r="F46" s="24" t="n"/>
    </row>
    <row r="47">
      <c r="A47" s="24" t="n"/>
      <c r="B47" s="24" t="n"/>
      <c r="C47" s="24" t="n"/>
      <c r="D47" s="24" t="n"/>
      <c r="E47" s="24" t="n"/>
      <c r="F47" s="24" t="n"/>
    </row>
    <row r="48">
      <c r="A48" s="24" t="n"/>
      <c r="B48" s="24" t="n"/>
      <c r="C48" s="24" t="n"/>
      <c r="D48" s="24" t="n"/>
      <c r="E48" s="24" t="n"/>
      <c r="F48" s="24" t="n"/>
    </row>
    <row r="49">
      <c r="A49" s="24" t="n"/>
      <c r="B49" s="24" t="n"/>
      <c r="C49" s="24" t="n"/>
      <c r="D49" s="24" t="n"/>
      <c r="E49" s="24" t="n"/>
      <c r="F49" s="24" t="n"/>
    </row>
    <row r="50">
      <c r="A50" s="24" t="n"/>
      <c r="B50" s="24" t="n"/>
      <c r="C50" s="24" t="n"/>
      <c r="D50" s="24" t="n"/>
      <c r="E50" s="24" t="n"/>
      <c r="F50" s="24" t="n"/>
    </row>
    <row r="51">
      <c r="A51" s="24" t="n"/>
      <c r="B51" s="24" t="n"/>
      <c r="C51" s="24" t="n"/>
      <c r="D51" s="24" t="n"/>
      <c r="E51" s="24" t="n"/>
      <c r="F51" s="24" t="n"/>
    </row>
    <row r="52">
      <c r="A52" s="24" t="n"/>
      <c r="B52" s="24" t="n"/>
      <c r="C52" s="24" t="n"/>
      <c r="D52" s="24" t="n"/>
      <c r="E52" s="24" t="n"/>
      <c r="F52" s="24" t="n"/>
    </row>
    <row r="53">
      <c r="A53" s="24" t="n"/>
      <c r="B53" s="24" t="n"/>
      <c r="C53" s="24" t="n"/>
      <c r="D53" s="24" t="n"/>
      <c r="E53" s="24" t="n"/>
      <c r="F53" s="24" t="n"/>
    </row>
    <row r="54">
      <c r="A54" s="24" t="n"/>
      <c r="B54" s="24" t="n"/>
      <c r="C54" s="24" t="n"/>
      <c r="D54" s="24" t="n"/>
      <c r="E54" s="24" t="n"/>
      <c r="F54" s="24" t="n"/>
    </row>
    <row r="55">
      <c r="A55" s="24" t="n"/>
      <c r="B55" s="24" t="n"/>
      <c r="C55" s="24" t="n"/>
      <c r="D55" s="24" t="n"/>
      <c r="E55" s="24" t="n"/>
      <c r="F55" s="24" t="n"/>
    </row>
    <row r="56">
      <c r="A56" s="24" t="n"/>
      <c r="B56" s="24" t="n"/>
      <c r="C56" s="24" t="n"/>
      <c r="D56" s="24" t="n"/>
      <c r="E56" s="24" t="n"/>
      <c r="F56" s="24" t="n"/>
    </row>
    <row r="57">
      <c r="A57" s="24" t="n"/>
      <c r="B57" s="24" t="n"/>
      <c r="C57" s="24" t="n"/>
      <c r="D57" s="24" t="n"/>
      <c r="E57" s="24" t="n"/>
      <c r="F57" s="24" t="n"/>
    </row>
    <row r="58">
      <c r="A58" s="24" t="n"/>
      <c r="B58" s="24" t="n"/>
      <c r="C58" s="24" t="n"/>
      <c r="D58" s="24" t="n"/>
      <c r="E58" s="24" t="n"/>
      <c r="F58" s="24" t="n"/>
    </row>
    <row r="59">
      <c r="A59" s="24" t="n"/>
      <c r="B59" s="24" t="n"/>
      <c r="C59" s="24" t="n"/>
      <c r="D59" s="24" t="n"/>
      <c r="E59" s="24" t="n"/>
      <c r="F59" s="24" t="n"/>
    </row>
    <row r="60">
      <c r="A60" s="24" t="n"/>
      <c r="B60" s="24" t="n"/>
      <c r="C60" s="24" t="n"/>
      <c r="D60" s="24" t="n"/>
      <c r="E60" s="24" t="n"/>
      <c r="F60" s="24" t="n"/>
    </row>
    <row r="61">
      <c r="A61" s="24" t="n"/>
      <c r="B61" s="24" t="n"/>
      <c r="C61" s="24" t="n"/>
      <c r="D61" s="24" t="n"/>
      <c r="E61" s="24" t="n"/>
      <c r="F61" s="24" t="n"/>
    </row>
    <row r="62">
      <c r="A62" s="24" t="n"/>
      <c r="B62" s="24" t="n"/>
      <c r="C62" s="24" t="n"/>
      <c r="D62" s="24" t="n"/>
      <c r="E62" s="24" t="n"/>
      <c r="F62" s="24" t="n"/>
    </row>
    <row r="63">
      <c r="A63" s="24" t="n"/>
      <c r="B63" s="24" t="n"/>
      <c r="C63" s="24" t="n"/>
      <c r="D63" s="24" t="n"/>
      <c r="E63" s="24" t="n"/>
      <c r="F63" s="24" t="n"/>
    </row>
    <row r="64">
      <c r="A64" s="24" t="n"/>
      <c r="B64" s="24" t="n"/>
      <c r="C64" s="24" t="n"/>
      <c r="D64" s="24" t="n"/>
      <c r="E64" s="24" t="n"/>
      <c r="F64" s="24" t="n"/>
    </row>
    <row r="65">
      <c r="A65" s="24" t="n"/>
      <c r="B65" s="24" t="n"/>
      <c r="C65" s="24" t="n"/>
      <c r="D65" s="24" t="n"/>
      <c r="E65" s="24" t="n"/>
      <c r="F65" s="24" t="n"/>
    </row>
    <row r="66">
      <c r="A66" s="24" t="n"/>
      <c r="B66" s="24" t="n"/>
      <c r="C66" s="24" t="n"/>
      <c r="D66" s="24" t="n"/>
      <c r="E66" s="24" t="n"/>
      <c r="F66" s="24" t="n"/>
    </row>
    <row r="67">
      <c r="A67" s="24" t="n"/>
      <c r="B67" s="24" t="n"/>
      <c r="C67" s="24" t="n"/>
      <c r="D67" s="24" t="n"/>
      <c r="E67" s="24" t="n"/>
      <c r="F67" s="24" t="n"/>
    </row>
    <row r="68">
      <c r="A68" s="24" t="n"/>
      <c r="B68" s="24" t="n"/>
      <c r="C68" s="24" t="n"/>
      <c r="D68" s="24" t="n"/>
      <c r="E68" s="24" t="n"/>
      <c r="F68" s="24" t="n"/>
    </row>
    <row r="69">
      <c r="A69" s="24" t="n"/>
      <c r="B69" s="24" t="n"/>
      <c r="C69" s="24" t="n"/>
      <c r="D69" s="24" t="n"/>
      <c r="E69" s="24" t="n"/>
      <c r="F69" s="24" t="n"/>
    </row>
    <row r="70">
      <c r="A70" s="24" t="n"/>
      <c r="B70" s="24" t="n"/>
      <c r="C70" s="24" t="n"/>
      <c r="D70" s="24" t="n"/>
      <c r="E70" s="24" t="n"/>
      <c r="F70" s="24" t="n"/>
    </row>
    <row r="71">
      <c r="A71" s="24" t="n"/>
      <c r="B71" s="24" t="n"/>
      <c r="C71" s="24" t="n"/>
      <c r="D71" s="24" t="n"/>
      <c r="E71" s="24" t="n"/>
      <c r="F71" s="24" t="n"/>
    </row>
    <row r="72">
      <c r="A72" s="24" t="n"/>
      <c r="B72" s="24" t="n"/>
      <c r="C72" s="24" t="n"/>
      <c r="D72" s="24" t="n"/>
      <c r="E72" s="24" t="n"/>
      <c r="F72" s="24" t="n"/>
    </row>
    <row r="73">
      <c r="A73" s="24" t="n"/>
      <c r="B73" s="24" t="n"/>
      <c r="C73" s="24" t="n"/>
      <c r="D73" s="24" t="n"/>
      <c r="E73" s="24" t="n"/>
      <c r="F73" s="24" t="n"/>
    </row>
    <row r="74">
      <c r="A74" s="24" t="n"/>
      <c r="B74" s="24" t="n"/>
      <c r="C74" s="24" t="n"/>
      <c r="D74" s="24" t="n"/>
      <c r="E74" s="24" t="n"/>
      <c r="F74" s="24" t="n"/>
    </row>
    <row r="75">
      <c r="A75" s="24" t="n"/>
      <c r="B75" s="24" t="n"/>
      <c r="C75" s="24" t="n"/>
      <c r="D75" s="24" t="n"/>
      <c r="E75" s="24" t="n"/>
      <c r="F75" s="24" t="n"/>
    </row>
    <row r="76">
      <c r="A76" s="24" t="n"/>
      <c r="B76" s="24" t="n"/>
      <c r="C76" s="24" t="n"/>
      <c r="D76" s="24" t="n"/>
      <c r="E76" s="24" t="n"/>
      <c r="F76" s="24" t="n"/>
    </row>
    <row r="77">
      <c r="A77" s="24" t="n"/>
      <c r="B77" s="24" t="n"/>
      <c r="C77" s="24" t="n"/>
      <c r="D77" s="24" t="n"/>
      <c r="E77" s="24" t="n"/>
      <c r="F77" s="24" t="n"/>
    </row>
    <row r="78">
      <c r="A78" s="24" t="n"/>
      <c r="B78" s="24" t="n"/>
      <c r="C78" s="24" t="n"/>
      <c r="D78" s="24" t="n"/>
      <c r="E78" s="24" t="n"/>
      <c r="F78" s="24" t="n"/>
    </row>
    <row r="79">
      <c r="A79" s="24" t="n"/>
      <c r="B79" s="24" t="n"/>
      <c r="C79" s="24" t="n"/>
      <c r="D79" s="24" t="n"/>
      <c r="E79" s="24" t="n"/>
      <c r="F79" s="24" t="n"/>
    </row>
    <row r="80">
      <c r="A80" s="24" t="n"/>
      <c r="B80" s="24" t="n"/>
      <c r="C80" s="24" t="n"/>
      <c r="D80" s="24" t="n"/>
      <c r="E80" s="24" t="n"/>
      <c r="F80" s="24" t="n"/>
    </row>
    <row r="81">
      <c r="A81" s="24" t="n"/>
      <c r="B81" s="24" t="n"/>
      <c r="C81" s="24" t="n"/>
      <c r="D81" s="24" t="n"/>
      <c r="E81" s="24" t="n"/>
      <c r="F81" s="24" t="n"/>
    </row>
    <row r="82">
      <c r="A82" s="24" t="n"/>
      <c r="B82" s="24" t="n"/>
      <c r="C82" s="24" t="n"/>
      <c r="D82" s="24" t="n"/>
      <c r="E82" s="24" t="n"/>
      <c r="F82" s="24" t="n"/>
    </row>
    <row r="83">
      <c r="A83" s="24" t="n"/>
      <c r="B83" s="24" t="n"/>
      <c r="C83" s="24" t="n"/>
      <c r="D83" s="24" t="n"/>
      <c r="E83" s="24" t="n"/>
      <c r="F83" s="24" t="n"/>
    </row>
    <row r="84">
      <c r="A84" s="24" t="n"/>
      <c r="B84" s="24" t="n"/>
      <c r="C84" s="24" t="n"/>
      <c r="D84" s="24" t="n"/>
      <c r="E84" s="24" t="n"/>
      <c r="F84" s="24" t="n"/>
    </row>
    <row r="85">
      <c r="A85" s="24" t="n"/>
      <c r="B85" s="24" t="n"/>
      <c r="C85" s="24" t="n"/>
      <c r="D85" s="24" t="n"/>
      <c r="E85" s="24" t="n"/>
      <c r="F85" s="24" t="n"/>
    </row>
    <row r="86">
      <c r="A86" s="24" t="n"/>
      <c r="B86" s="24" t="n"/>
      <c r="C86" s="24" t="n"/>
      <c r="D86" s="24" t="n"/>
      <c r="E86" s="24" t="n"/>
      <c r="F86" s="24" t="n"/>
    </row>
    <row r="87">
      <c r="A87" s="24" t="n"/>
      <c r="B87" s="24" t="n"/>
      <c r="C87" s="24" t="n"/>
      <c r="D87" s="24" t="n"/>
      <c r="E87" s="24" t="n"/>
      <c r="F87" s="24" t="n"/>
    </row>
    <row r="88">
      <c r="A88" s="24" t="n"/>
      <c r="B88" s="24" t="n"/>
      <c r="C88" s="24" t="n"/>
      <c r="D88" s="24" t="n"/>
      <c r="E88" s="24" t="n"/>
      <c r="F88" s="24" t="n"/>
    </row>
    <row r="89">
      <c r="A89" s="24" t="n"/>
      <c r="B89" s="24" t="n"/>
      <c r="C89" s="24" t="n"/>
      <c r="D89" s="24" t="n"/>
      <c r="E89" s="24" t="n"/>
      <c r="F89" s="24" t="n"/>
    </row>
    <row r="90">
      <c r="A90" s="24" t="n"/>
      <c r="B90" s="24" t="n"/>
      <c r="C90" s="24" t="n"/>
      <c r="D90" s="24" t="n"/>
      <c r="E90" s="24" t="n"/>
      <c r="F90" s="24" t="n"/>
    </row>
    <row r="91">
      <c r="A91" s="24" t="n"/>
      <c r="B91" s="24" t="n"/>
      <c r="C91" s="24" t="n"/>
      <c r="D91" s="24" t="n"/>
      <c r="E91" s="24" t="n"/>
      <c r="F91" s="24" t="n"/>
    </row>
    <row r="92">
      <c r="A92" s="24" t="n"/>
      <c r="B92" s="24" t="n"/>
      <c r="C92" s="24" t="n"/>
      <c r="D92" s="24" t="n"/>
      <c r="E92" s="24" t="n"/>
      <c r="F92" s="24" t="n"/>
    </row>
    <row r="93">
      <c r="A93" s="24" t="n"/>
      <c r="B93" s="24" t="n"/>
      <c r="C93" s="24" t="n"/>
      <c r="D93" s="24" t="n"/>
      <c r="E93" s="24" t="n"/>
      <c r="F93" s="24" t="n"/>
    </row>
    <row r="94">
      <c r="A94" s="24" t="n"/>
      <c r="B94" s="24" t="n"/>
      <c r="C94" s="24" t="n"/>
      <c r="D94" s="24" t="n"/>
      <c r="E94" s="24" t="n"/>
      <c r="F94" s="24" t="n"/>
    </row>
    <row r="95">
      <c r="A95" s="24" t="n"/>
      <c r="B95" s="24" t="n"/>
      <c r="C95" s="24" t="n"/>
      <c r="D95" s="24" t="n"/>
      <c r="E95" s="24" t="n"/>
      <c r="F95" s="24" t="n"/>
    </row>
    <row r="96">
      <c r="A96" s="24" t="n"/>
      <c r="B96" s="24" t="n"/>
      <c r="C96" s="24" t="n"/>
      <c r="D96" s="24" t="n"/>
      <c r="E96" s="24" t="n"/>
      <c r="F96" s="24" t="n"/>
    </row>
    <row r="97">
      <c r="A97" s="24" t="n"/>
      <c r="B97" s="24" t="n"/>
      <c r="C97" s="24" t="n"/>
      <c r="D97" s="24" t="n"/>
      <c r="E97" s="24" t="n"/>
      <c r="F97" s="24" t="n"/>
    </row>
    <row r="98">
      <c r="A98" s="24" t="n"/>
      <c r="B98" s="24" t="n"/>
      <c r="C98" s="24" t="n"/>
      <c r="D98" s="24" t="n"/>
      <c r="E98" s="24" t="n"/>
      <c r="F98" s="24" t="n"/>
    </row>
    <row r="99">
      <c r="A99" s="24" t="n"/>
      <c r="B99" s="24" t="n"/>
      <c r="C99" s="24" t="n"/>
      <c r="D99" s="24" t="n"/>
      <c r="E99" s="24" t="n"/>
      <c r="F99" s="24" t="n"/>
    </row>
    <row r="100">
      <c r="A100" s="24" t="n"/>
      <c r="B100" s="24" t="n"/>
      <c r="C100" s="24" t="n"/>
      <c r="D100" s="24" t="n"/>
      <c r="E100" s="24" t="n"/>
      <c r="F100" s="24" t="n"/>
    </row>
    <row r="101">
      <c r="A101" s="24" t="n"/>
      <c r="B101" s="24" t="n"/>
      <c r="C101" s="24" t="n"/>
      <c r="D101" s="24" t="n"/>
      <c r="E101" s="24" t="n"/>
      <c r="F101" s="24" t="n"/>
    </row>
    <row r="102">
      <c r="A102" s="24" t="n"/>
      <c r="B102" s="24" t="n"/>
      <c r="C102" s="24" t="n"/>
      <c r="D102" s="24" t="n"/>
      <c r="E102" s="24" t="n"/>
      <c r="F102" s="24" t="n"/>
    </row>
  </sheetData>
  <autoFilter ref="A1:F102"/>
  <dataValidations count="2">
    <dataValidation sqref="B2:B500" showDropDown="0" showInputMessage="0" showErrorMessage="0" allowBlank="1" type="list">
      <formula1>"법률,대통령령,부령,훈령·예규·고시,내부 지침·매뉴얼,판례·해석례,기타"</formula1>
    </dataValidation>
    <dataValidation sqref="C2:C500" showDropDown="0" showInputMessage="0" showErrorMessage="0" allowBlank="1" type="list">
      <formula1>"조직·인사,형사절차,수사 실무,유관기관,개인정보·민원,기타"</formula1>
    </dataValidation>
  </dataValidations>
  <hyperlinks>
    <hyperlink xmlns:r="http://schemas.openxmlformats.org/officeDocument/2006/relationships" ref="D2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0" customWidth="1" min="3" max="3"/>
  </cols>
  <sheetData>
    <row r="1" ht="22" customHeight="1">
      <c r="A1" s="4" t="inlineStr">
        <is>
          <t>기관</t>
        </is>
      </c>
      <c r="B1" s="4" t="inlineStr">
        <is>
          <t>인원</t>
        </is>
      </c>
      <c r="C1" s="4" t="inlineStr">
        <is>
          <t>계급 구성</t>
        </is>
      </c>
    </row>
    <row r="2">
      <c r="A2" s="6" t="inlineStr">
        <is>
          <t>경찰청</t>
        </is>
      </c>
      <c r="B2" s="9" t="n">
        <v>37</v>
      </c>
      <c r="C2" s="6" t="inlineStr">
        <is>
          <t>경정 2, 경감 8, 경위 11, 경사 16</t>
        </is>
      </c>
    </row>
    <row r="3">
      <c r="A3" s="6" t="inlineStr">
        <is>
          <t>국세청</t>
        </is>
      </c>
      <c r="B3" s="9" t="n">
        <v>8</v>
      </c>
      <c r="C3" s="6" t="inlineStr">
        <is>
          <t>6급 1, 7급 5, 8급 2</t>
        </is>
      </c>
    </row>
    <row r="4">
      <c r="A4" s="6" t="inlineStr">
        <is>
          <t>관세청</t>
        </is>
      </c>
      <c r="B4" s="9" t="n">
        <v>5</v>
      </c>
      <c r="C4" s="6" t="inlineStr">
        <is>
          <t>6급 2, 7급 2, 8급 1</t>
        </is>
      </c>
    </row>
    <row r="5">
      <c r="A5" s="6" t="inlineStr">
        <is>
          <t>법무부</t>
        </is>
      </c>
      <c r="B5" s="9" t="n">
        <v>3</v>
      </c>
      <c r="C5" s="6" t="inlineStr">
        <is>
          <t>6급 1, 7급 2</t>
        </is>
      </c>
    </row>
    <row r="6">
      <c r="A6" s="6" t="inlineStr">
        <is>
          <t>해양경찰청</t>
        </is>
      </c>
      <c r="B6" s="9" t="n">
        <v>2</v>
      </c>
      <c r="C6" s="6" t="inlineStr">
        <is>
          <t>경사 1, 경장 1</t>
        </is>
      </c>
    </row>
    <row r="7">
      <c r="A7" s="6" t="inlineStr">
        <is>
          <t>금융위원회</t>
        </is>
      </c>
      <c r="B7" s="9" t="n">
        <v>2</v>
      </c>
      <c r="C7" s="6" t="inlineStr">
        <is>
          <t>5급 2</t>
        </is>
      </c>
    </row>
    <row r="8">
      <c r="A8" s="28" t="inlineStr">
        <is>
          <t>합계</t>
        </is>
      </c>
      <c r="B8" s="11">
        <f>SUM(B2:B7)</f>
        <v/>
      </c>
      <c r="C8" s="12" t="inlineStr"/>
    </row>
    <row r="10">
      <c r="A10" s="15" t="inlineStr">
        <is>
          <t>근거: 「중대범죄수사청과 그 소속기관 직제」 §36④. 중수청장은 충원 방법·절차를 해당 기관장과 미리 협의합니다.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2026-09-28T02:38:01Z</dcterms:created>
  <dcterms:modified xsi:type="dcterms:W3CDTF">2026-09-28T02:38:01Z</dcterms:modified>
</cp:coreProperties>
</file>