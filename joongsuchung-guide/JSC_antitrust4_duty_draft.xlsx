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4과 업무분장표" sheetId="2" state="visible" r:id="rId2"/>
    <sheet xmlns:r="http://schemas.openxmlformats.org/officeDocument/2006/relationships" name="4과 인원현황" sheetId="3" state="visible" r:id="rId3"/>
    <sheet xmlns:r="http://schemas.openxmlformats.org/officeDocument/2006/relationships" name="4과 공통업무" sheetId="4" state="visible" r:id="rId4"/>
    <sheet xmlns:r="http://schemas.openxmlformats.org/officeDocument/2006/relationships" name="4과 업무범위" sheetId="5" state="visible" r:id="rId5"/>
    <sheet xmlns:r="http://schemas.openxmlformats.org/officeDocument/2006/relationships" name="4과 직급별 역할" sheetId="6" state="visible" r:id="rId6"/>
    <sheet xmlns:r="http://schemas.openxmlformats.org/officeDocument/2006/relationships" name="국 분장(안)" sheetId="7" state="visible" r:id="rId7"/>
    <sheet xmlns:r="http://schemas.openxmlformats.org/officeDocument/2006/relationships" name="1~3과 편성(안)" sheetId="8" state="visible" r:id="rId8"/>
  </sheets>
  <definedNames>
    <definedName name="_xlnm._FilterDatabase" localSheetId="1" hidden="1">'4과 업무분장표'!$A$1:$I$20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;-0;&quot;-&quot;"/>
    <numFmt numFmtId="165" formatCode="0;-0;&quot;✓&quot;"/>
  </numFmts>
  <fonts count="11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  <font>
      <name val="맑은 고딕"/>
      <b val="1"/>
      <color rgb="00FFFFFF"/>
      <sz val="10"/>
    </font>
    <font>
      <name val="맑은 고딕"/>
      <color rgb="000000FF"/>
      <sz val="10"/>
    </font>
    <font>
      <name val="맑은 고딕"/>
      <color rgb="00000000"/>
      <sz val="10"/>
    </font>
    <font>
      <name val="맑은 고딕"/>
      <b val="1"/>
      <color rgb="000000FF"/>
      <sz val="10"/>
    </font>
    <font>
      <name val="맑은 고딕"/>
      <color rgb="006E7886"/>
      <sz val="9"/>
    </font>
    <font>
      <name val="맑은 고딕"/>
      <color rgb="00008000"/>
      <sz val="10"/>
    </font>
    <font>
      <name val="맑은 고딕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5E8C"/>
      </patternFill>
    </fill>
    <fill>
      <patternFill patternType="solid">
        <fgColor rgb="00F3F4F6"/>
      </patternFill>
    </fill>
    <fill>
      <patternFill patternType="solid">
        <fgColor rgb="00FFFBE6"/>
      </patternFill>
    </fill>
    <fill>
      <patternFill patternType="solid">
        <fgColor rgb="00E2ECF5"/>
      </patternFill>
    </fill>
    <fill>
      <patternFill patternType="solid">
        <fgColor rgb="00EAF3EA"/>
      </patternFill>
    </fill>
  </fills>
  <borders count="2">
    <border>
      <left/>
      <right/>
      <top/>
      <bottom/>
      <diagonal/>
    </border>
    <border>
      <left style="thin">
        <color rgb="00BCC4CE"/>
      </left>
      <right style="thin">
        <color rgb="00BCC4CE"/>
      </right>
      <top style="thin">
        <color rgb="00BCC4CE"/>
      </top>
      <bottom style="thin">
        <color rgb="00BCC4CE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" fontId="3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center" wrapText="1"/>
    </xf>
    <xf numFmtId="164" fontId="5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서울지방중대범죄수사청 반독점수사4과 업무분장(초안)</t>
        </is>
      </c>
      <c r="B1" s="2" t="n"/>
    </row>
    <row r="2" ht="32" customHeight="1">
      <c r="A2" s="3" t="inlineStr">
        <is>
          <t>작성 기준</t>
        </is>
      </c>
      <c r="B2" s="2" t="inlineStr">
        <is>
          <t>2026. 10. 2. 발령 명단(과장 제외 18명). 1~3과는 4과와 같은 인원 구성(19명)으로 가정.</t>
        </is>
      </c>
    </row>
    <row r="3" ht="32" customHeight="1">
      <c r="A3" s="3" t="inlineStr">
        <is>
          <t>근거</t>
        </is>
      </c>
      <c r="B3" s="2" t="inlineStr">
        <is>
          <t>「중대범죄수사청과 그 소속기관 직제 시행규칙」 §18②(반독점수사1~4과 공통 분장, 과 사이 구체적 분장은 청장이 정함), §7④(사건 범위), 중수청법 §17(7급 이상 사법경찰관, 8급 이하 사법경찰리).</t>
        </is>
      </c>
    </row>
    <row r="4">
      <c r="A4" s="3" t="inlineStr"/>
      <c r="B4" s="2" t="inlineStr"/>
    </row>
    <row r="5">
      <c r="A5" s="3" t="inlineStr">
        <is>
          <t>시트 구성</t>
        </is>
      </c>
      <c r="B5" s="2" t="inlineStr"/>
    </row>
    <row r="6">
      <c r="A6" s="3" t="inlineStr">
        <is>
          <t>4과 업무분장표</t>
        </is>
      </c>
      <c r="B6" s="2" t="inlineStr">
        <is>
          <t>담당자별 팀·주 업무·과 공통 업무·대직자·멘토. 노란 칸(파란 글씨)을 고쳐 쓰세요.</t>
        </is>
      </c>
    </row>
    <row r="7">
      <c r="A7" s="3" t="inlineStr">
        <is>
          <t>4과 인원현황</t>
        </is>
      </c>
      <c r="B7" s="2" t="inlineStr">
        <is>
          <t>발령 명단과 팀·직급별 인원 집계. 집계는 ‘4과 업무분장표’의 팀 칸을 바꾸면 자동으로 다시 계산됩니다.</t>
        </is>
      </c>
    </row>
    <row r="8">
      <c r="A8" s="3" t="inlineStr">
        <is>
          <t>4과 공통업무</t>
        </is>
      </c>
      <c r="B8" s="2" t="inlineStr">
        <is>
          <t>과 공통 업무의 정·부 담당자.</t>
        </is>
      </c>
    </row>
    <row r="9">
      <c r="A9" s="3" t="inlineStr">
        <is>
          <t>4과 업무범위</t>
        </is>
      </c>
      <c r="B9" s="2" t="inlineStr">
        <is>
          <t>4과 예상 사건 범위와 근거.</t>
        </is>
      </c>
    </row>
    <row r="10">
      <c r="A10" s="3" t="inlineStr">
        <is>
          <t>4과 직급별 역할</t>
        </is>
      </c>
      <c r="B10" s="2" t="inlineStr">
        <is>
          <t>사건 처리 단계별로 직급마다 맡는 일.</t>
        </is>
      </c>
    </row>
    <row r="11">
      <c r="A11" s="3" t="inlineStr">
        <is>
          <t>국 분장(안)</t>
        </is>
      </c>
      <c r="B11" s="2" t="inlineStr">
        <is>
          <t>반독점수사국 1~4과 전담 분야 건의안.</t>
        </is>
      </c>
    </row>
    <row r="12">
      <c r="A12" s="3" t="inlineStr">
        <is>
          <t>1~3과 편성(안)</t>
        </is>
      </c>
      <c r="B12" s="2" t="inlineStr">
        <is>
          <t>1~3과 팀 편성 틀과 과별 조정 사항.</t>
        </is>
      </c>
    </row>
    <row r="13">
      <c r="A13" s="3" t="inlineStr"/>
      <c r="B13" s="2" t="inlineStr"/>
    </row>
    <row r="14" ht="32" customHeight="1">
      <c r="A14" s="3" t="inlineStr">
        <is>
          <t>주의</t>
        </is>
      </c>
      <c r="B14" s="2" t="inlineStr">
        <is>
          <t>성명 배치는 경력 정보 없이 명단 순서대로 넣은 임시안입니다. 2팀장은 6급 중 선임자로 바꾸고, 공정위 사건·포렌식·회계 경력을 반영해 조정하세요. 과별 전담 분야는 청장이 정하는 사항이므로 국 건의용입니다. 공정거래법 조문 번호는 2020년 전부개정법 기준입니다.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0" customWidth="1" min="4" max="4"/>
    <col width="46" customWidth="1" min="5" max="5"/>
    <col width="40" customWidth="1" min="6" max="6"/>
    <col width="10" customWidth="1" min="7" max="7"/>
    <col width="10" customWidth="1" min="8" max="8"/>
    <col width="26" customWidth="1" min="9" max="9"/>
  </cols>
  <sheetData>
    <row r="1">
      <c r="A1" s="4" t="inlineStr">
        <is>
          <t>팀</t>
        </is>
      </c>
      <c r="B1" s="4" t="inlineStr">
        <is>
          <t>직위</t>
        </is>
      </c>
      <c r="C1" s="4" t="inlineStr">
        <is>
          <t>직급</t>
        </is>
      </c>
      <c r="D1" s="4" t="inlineStr">
        <is>
          <t>성명</t>
        </is>
      </c>
      <c r="E1" s="4" t="inlineStr">
        <is>
          <t>주 업무</t>
        </is>
      </c>
      <c r="F1" s="4" t="inlineStr">
        <is>
          <t>과 공통 업무(겸임)</t>
        </is>
      </c>
      <c r="G1" s="4" t="inlineStr">
        <is>
          <t>대직자</t>
        </is>
      </c>
      <c r="H1" s="4" t="inlineStr">
        <is>
          <t>멘토(9급)</t>
        </is>
      </c>
      <c r="I1" s="4" t="inlineStr">
        <is>
          <t>비고</t>
        </is>
      </c>
    </row>
    <row r="2" ht="30" customHeight="1">
      <c r="A2" s="5" t="inlineStr">
        <is>
          <t>과 직속</t>
        </is>
      </c>
      <c r="B2" s="6" t="inlineStr">
        <is>
          <t>과장</t>
        </is>
      </c>
      <c r="C2" s="6" t="inlineStr">
        <is>
          <t>4급</t>
        </is>
      </c>
      <c r="D2" s="7" t="inlineStr">
        <is>
          <t>(과장)</t>
        </is>
      </c>
      <c r="E2" s="8" t="inlineStr">
        <is>
          <t>과 업무 총괄, 사건 배당·지휘, 영장 결재, 국장 보고</t>
        </is>
      </c>
      <c r="F2" s="8" t="inlineStr">
        <is>
          <t>—</t>
        </is>
      </c>
      <c r="G2" s="9" t="inlineStr">
        <is>
          <t>윤유승</t>
        </is>
      </c>
      <c r="H2" s="9" t="n"/>
      <c r="I2" s="8" t="inlineStr">
        <is>
          <t>명단 외</t>
        </is>
      </c>
    </row>
    <row r="3" ht="30" customHeight="1">
      <c r="A3" s="10" t="inlineStr">
        <is>
          <t>1팀</t>
        </is>
      </c>
      <c r="B3" s="11" t="inlineStr">
        <is>
          <t>팀장</t>
        </is>
      </c>
      <c r="C3" s="11" t="inlineStr">
        <is>
          <t>5급</t>
        </is>
      </c>
      <c r="D3" s="12" t="inlineStr">
        <is>
          <t>윤유승</t>
        </is>
      </c>
      <c r="E3" s="8" t="inlineStr">
        <is>
          <t>1팀 지휘, 대기업집단 중요사건 주임</t>
        </is>
      </c>
      <c r="F3" s="8" t="inlineStr">
        <is>
          <t>과 수사기획, 공정위·국 협의 창구</t>
        </is>
      </c>
      <c r="G3" s="9" t="inlineStr">
        <is>
          <t>조철민</t>
        </is>
      </c>
      <c r="H3" s="9" t="n"/>
      <c r="I3" s="8" t="n"/>
    </row>
    <row r="4" ht="30" customHeight="1">
      <c r="A4" s="10" t="inlineStr">
        <is>
          <t>1팀</t>
        </is>
      </c>
      <c r="B4" s="11" t="inlineStr">
        <is>
          <t>주임</t>
        </is>
      </c>
      <c r="C4" s="11" t="inlineStr">
        <is>
          <t>6급</t>
        </is>
      </c>
      <c r="D4" s="12" t="inlineStr">
        <is>
          <t>이광진</t>
        </is>
      </c>
      <c r="E4" s="8" t="inlineStr">
        <is>
          <t>부당지원·사익편취 사건 주임</t>
        </is>
      </c>
      <c r="F4" s="8" t="inlineStr">
        <is>
          <t>자금·회계 분석(계열사 간 거래, 이익 산정)</t>
        </is>
      </c>
      <c r="G4" s="9" t="inlineStr">
        <is>
          <t>신영일</t>
        </is>
      </c>
      <c r="H4" s="9" t="n"/>
      <c r="I4" s="8" t="n"/>
    </row>
    <row r="5" ht="30" customHeight="1">
      <c r="A5" s="10" t="inlineStr">
        <is>
          <t>1팀</t>
        </is>
      </c>
      <c r="B5" s="11" t="inlineStr">
        <is>
          <t>주임·보조</t>
        </is>
      </c>
      <c r="C5" s="11" t="inlineStr">
        <is>
          <t>7급</t>
        </is>
      </c>
      <c r="D5" s="12" t="inlineStr">
        <is>
          <t>김다미</t>
        </is>
      </c>
      <c r="E5" s="8" t="inlineStr">
        <is>
          <t>사건 주임(중소 규모)·조사</t>
        </is>
      </c>
      <c r="F5" s="8" t="inlineStr">
        <is>
          <t>사건관리·영장·통계(정)</t>
        </is>
      </c>
      <c r="G5" s="9" t="inlineStr">
        <is>
          <t>황승현</t>
        </is>
      </c>
      <c r="H5" s="9" t="inlineStr">
        <is>
          <t>이준혁</t>
        </is>
      </c>
      <c r="I5" s="8" t="n"/>
    </row>
    <row r="6" ht="30" customHeight="1">
      <c r="A6" s="10" t="inlineStr">
        <is>
          <t>1팀</t>
        </is>
      </c>
      <c r="B6" s="11" t="inlineStr">
        <is>
          <t>보조</t>
        </is>
      </c>
      <c r="C6" s="11" t="inlineStr">
        <is>
          <t>7급</t>
        </is>
      </c>
      <c r="D6" s="12" t="inlineStr">
        <is>
          <t>심유민</t>
        </is>
      </c>
      <c r="E6" s="8" t="inlineStr">
        <is>
          <t>압수수색, 내부거래 자료 분석</t>
        </is>
      </c>
      <c r="F6" s="8" t="inlineStr">
        <is>
          <t>디지털증거 선별(부)</t>
        </is>
      </c>
      <c r="G6" s="9" t="inlineStr">
        <is>
          <t>신재호</t>
        </is>
      </c>
      <c r="H6" s="9" t="inlineStr">
        <is>
          <t>최형범</t>
        </is>
      </c>
      <c r="I6" s="8" t="n"/>
    </row>
    <row r="7" ht="30" customHeight="1">
      <c r="A7" s="10" t="inlineStr">
        <is>
          <t>1팀</t>
        </is>
      </c>
      <c r="B7" s="11" t="inlineStr">
        <is>
          <t>보조</t>
        </is>
      </c>
      <c r="C7" s="11" t="inlineStr">
        <is>
          <t>8급</t>
        </is>
      </c>
      <c r="D7" s="12" t="inlineStr">
        <is>
          <t>손귀연</t>
        </is>
      </c>
      <c r="E7" s="8" t="inlineStr">
        <is>
          <t>조사 참여, 압수물 목록 작성</t>
        </is>
      </c>
      <c r="F7" s="8" t="inlineStr">
        <is>
          <t>압수물·기록 관리(정)</t>
        </is>
      </c>
      <c r="G7" s="9" t="inlineStr">
        <is>
          <t>박성진</t>
        </is>
      </c>
      <c r="H7" s="9" t="n"/>
      <c r="I7" s="8" t="n"/>
    </row>
    <row r="8" ht="30" customHeight="1">
      <c r="A8" s="10" t="inlineStr">
        <is>
          <t>1팀</t>
        </is>
      </c>
      <c r="B8" s="11" t="inlineStr">
        <is>
          <t>보조</t>
        </is>
      </c>
      <c r="C8" s="11" t="inlineStr">
        <is>
          <t>8급</t>
        </is>
      </c>
      <c r="D8" s="12" t="inlineStr">
        <is>
          <t>이혜원</t>
        </is>
      </c>
      <c r="E8" s="8" t="inlineStr">
        <is>
          <t>조사 참여, 증거목록 정리</t>
        </is>
      </c>
      <c r="F8" s="8" t="inlineStr">
        <is>
          <t>압수물·기록 관리 지원</t>
        </is>
      </c>
      <c r="G8" s="9" t="inlineStr">
        <is>
          <t>김은혜</t>
        </is>
      </c>
      <c r="H8" s="9" t="n"/>
      <c r="I8" s="8" t="n"/>
    </row>
    <row r="9" ht="30" customHeight="1">
      <c r="A9" s="10" t="inlineStr">
        <is>
          <t>1팀</t>
        </is>
      </c>
      <c r="B9" s="11" t="inlineStr">
        <is>
          <t>보조</t>
        </is>
      </c>
      <c r="C9" s="11" t="inlineStr">
        <is>
          <t>9급</t>
        </is>
      </c>
      <c r="D9" s="12" t="inlineStr">
        <is>
          <t>이준혁</t>
        </is>
      </c>
      <c r="E9" s="8" t="inlineStr">
        <is>
          <t>기록 편철, 법인등기·공시 자료 입력, 조사 참여</t>
        </is>
      </c>
      <c r="F9" s="8" t="inlineStr">
        <is>
          <t>과 서무(부)</t>
        </is>
      </c>
      <c r="G9" s="9" t="inlineStr">
        <is>
          <t>최민석</t>
        </is>
      </c>
      <c r="H9" s="9" t="n"/>
      <c r="I9" s="8" t="inlineStr">
        <is>
          <t>멘토: 김다미</t>
        </is>
      </c>
    </row>
    <row r="10" ht="30" customHeight="1">
      <c r="A10" s="10" t="inlineStr">
        <is>
          <t>1팀</t>
        </is>
      </c>
      <c r="B10" s="11" t="inlineStr">
        <is>
          <t>보조</t>
        </is>
      </c>
      <c r="C10" s="11" t="inlineStr">
        <is>
          <t>9급</t>
        </is>
      </c>
      <c r="D10" s="12" t="inlineStr">
        <is>
          <t>최형범</t>
        </is>
      </c>
      <c r="E10" s="8" t="inlineStr">
        <is>
          <t>기록 편철, 자료 입력, 조사 참여</t>
        </is>
      </c>
      <c r="F10" s="8" t="inlineStr">
        <is>
          <t>공문 수발</t>
        </is>
      </c>
      <c r="G10" s="9" t="inlineStr">
        <is>
          <t>김범준</t>
        </is>
      </c>
      <c r="H10" s="9" t="n"/>
      <c r="I10" s="8" t="inlineStr">
        <is>
          <t>멘토: 심유민</t>
        </is>
      </c>
    </row>
    <row r="11" ht="30" customHeight="1">
      <c r="A11" s="10" t="inlineStr">
        <is>
          <t>1팀</t>
        </is>
      </c>
      <c r="B11" s="11" t="inlineStr">
        <is>
          <t>보조</t>
        </is>
      </c>
      <c r="C11" s="11" t="inlineStr">
        <is>
          <t>9급</t>
        </is>
      </c>
      <c r="D11" s="12" t="inlineStr">
        <is>
          <t>정수진</t>
        </is>
      </c>
      <c r="E11" s="8" t="inlineStr">
        <is>
          <t>기록 편철, 자료 대조, 조사 참여</t>
        </is>
      </c>
      <c r="F11" s="8" t="inlineStr">
        <is>
          <t>물품·비품 관리</t>
        </is>
      </c>
      <c r="G11" s="9" t="inlineStr">
        <is>
          <t>최민석</t>
        </is>
      </c>
      <c r="H11" s="9" t="n"/>
      <c r="I11" s="8" t="inlineStr">
        <is>
          <t>멘토: 이광진</t>
        </is>
      </c>
    </row>
    <row r="12" ht="30" customHeight="1">
      <c r="A12" s="13" t="inlineStr">
        <is>
          <t>2팀</t>
        </is>
      </c>
      <c r="B12" s="14" t="inlineStr">
        <is>
          <t>팀장</t>
        </is>
      </c>
      <c r="C12" s="14" t="inlineStr">
        <is>
          <t>6급</t>
        </is>
      </c>
      <c r="D12" s="15" t="inlineStr">
        <is>
          <t>조철민</t>
        </is>
      </c>
      <c r="E12" s="8" t="inlineStr">
        <is>
          <t>2팀 지휘, 중요사건 주임</t>
        </is>
      </c>
      <c r="F12" s="8" t="inlineStr">
        <is>
          <t>팀장 회의, 과장 보좌</t>
        </is>
      </c>
      <c r="G12" s="9" t="inlineStr">
        <is>
          <t>윤유승</t>
        </is>
      </c>
      <c r="H12" s="9" t="n"/>
      <c r="I12" s="8" t="inlineStr">
        <is>
          <t>6급 중 선임자로 조정</t>
        </is>
      </c>
    </row>
    <row r="13" ht="30" customHeight="1">
      <c r="A13" s="13" t="inlineStr">
        <is>
          <t>2팀</t>
        </is>
      </c>
      <c r="B13" s="14" t="inlineStr">
        <is>
          <t>주임</t>
        </is>
      </c>
      <c r="C13" s="14" t="inlineStr">
        <is>
          <t>6급</t>
        </is>
      </c>
      <c r="D13" s="15" t="inlineStr">
        <is>
          <t>신영일</t>
        </is>
      </c>
      <c r="E13" s="8" t="inlineStr">
        <is>
          <t>불공정거래 사건 주임(거래상 지위 남용 등)</t>
        </is>
      </c>
      <c r="F13" s="8" t="inlineStr">
        <is>
          <t>공정위 의결서·심결례 분석, 수사기법 정리</t>
        </is>
      </c>
      <c r="G13" s="9" t="inlineStr">
        <is>
          <t>이광진</t>
        </is>
      </c>
      <c r="H13" s="9" t="n"/>
      <c r="I13" s="8" t="n"/>
    </row>
    <row r="14" ht="30" customHeight="1">
      <c r="A14" s="13" t="inlineStr">
        <is>
          <t>2팀</t>
        </is>
      </c>
      <c r="B14" s="14" t="inlineStr">
        <is>
          <t>주임·보조</t>
        </is>
      </c>
      <c r="C14" s="14" t="inlineStr">
        <is>
          <t>7급</t>
        </is>
      </c>
      <c r="D14" s="15" t="inlineStr">
        <is>
          <t>서정우</t>
        </is>
      </c>
      <c r="E14" s="8" t="inlineStr">
        <is>
          <t>사건 주임(중소 규모)·조사</t>
        </is>
      </c>
      <c r="F14" s="8" t="inlineStr">
        <is>
          <t>경제범죄수사국과 사건 경계 협의(횡령·배임 동반 시)</t>
        </is>
      </c>
      <c r="G14" s="9" t="inlineStr">
        <is>
          <t>김다미</t>
        </is>
      </c>
      <c r="H14" s="9" t="inlineStr">
        <is>
          <t>최민석</t>
        </is>
      </c>
      <c r="I14" s="8" t="n"/>
    </row>
    <row r="15" ht="30" customHeight="1">
      <c r="A15" s="13" t="inlineStr">
        <is>
          <t>2팀</t>
        </is>
      </c>
      <c r="B15" s="14" t="inlineStr">
        <is>
          <t>보조</t>
        </is>
      </c>
      <c r="C15" s="14" t="inlineStr">
        <is>
          <t>7급</t>
        </is>
      </c>
      <c r="D15" s="15" t="inlineStr">
        <is>
          <t>신재호</t>
        </is>
      </c>
      <c r="E15" s="8" t="inlineStr">
        <is>
          <t>사건 수사, 피해업체 조사</t>
        </is>
      </c>
      <c r="F15" s="8" t="inlineStr">
        <is>
          <t>디지털증거 선별(정), 과학수사지원과 연락</t>
        </is>
      </c>
      <c r="G15" s="9" t="inlineStr">
        <is>
          <t>심유민</t>
        </is>
      </c>
      <c r="H15" s="9" t="inlineStr">
        <is>
          <t>김범준</t>
        </is>
      </c>
      <c r="I15" s="8" t="n"/>
    </row>
    <row r="16" ht="30" customHeight="1">
      <c r="A16" s="13" t="inlineStr">
        <is>
          <t>2팀</t>
        </is>
      </c>
      <c r="B16" s="14" t="inlineStr">
        <is>
          <t>보조</t>
        </is>
      </c>
      <c r="C16" s="14" t="inlineStr">
        <is>
          <t>7급</t>
        </is>
      </c>
      <c r="D16" s="15" t="inlineStr">
        <is>
          <t>황승현</t>
        </is>
      </c>
      <c r="E16" s="8" t="inlineStr">
        <is>
          <t>사건 수사, 거래자료 분석</t>
        </is>
      </c>
      <c r="F16" s="8" t="inlineStr">
        <is>
          <t>사건관리·영장(부)</t>
        </is>
      </c>
      <c r="G16" s="9" t="inlineStr">
        <is>
          <t>김다미</t>
        </is>
      </c>
      <c r="H16" s="9" t="n"/>
      <c r="I16" s="8" t="n"/>
    </row>
    <row r="17" ht="30" customHeight="1">
      <c r="A17" s="13" t="inlineStr">
        <is>
          <t>2팀</t>
        </is>
      </c>
      <c r="B17" s="14" t="inlineStr">
        <is>
          <t>보조</t>
        </is>
      </c>
      <c r="C17" s="14" t="inlineStr">
        <is>
          <t>8급</t>
        </is>
      </c>
      <c r="D17" s="15" t="inlineStr">
        <is>
          <t>박성진</t>
        </is>
      </c>
      <c r="E17" s="8" t="inlineStr">
        <is>
          <t>조사 참여, 압수물 정리</t>
        </is>
      </c>
      <c r="F17" s="8" t="inlineStr">
        <is>
          <t>압수물·기록 관리(부)</t>
        </is>
      </c>
      <c r="G17" s="9" t="inlineStr">
        <is>
          <t>손귀연</t>
        </is>
      </c>
      <c r="H17" s="9" t="n"/>
      <c r="I17" s="8" t="n"/>
    </row>
    <row r="18" ht="30" customHeight="1">
      <c r="A18" s="13" t="inlineStr">
        <is>
          <t>2팀</t>
        </is>
      </c>
      <c r="B18" s="14" t="inlineStr">
        <is>
          <t>보조</t>
        </is>
      </c>
      <c r="C18" s="14" t="inlineStr">
        <is>
          <t>8급</t>
        </is>
      </c>
      <c r="D18" s="15" t="inlineStr">
        <is>
          <t>김은혜</t>
        </is>
      </c>
      <c r="E18" s="8" t="inlineStr">
        <is>
          <t>조사 참여, 거래자료 정리</t>
        </is>
      </c>
      <c r="F18" s="8" t="inlineStr">
        <is>
          <t>통계·보고자료 작성 지원</t>
        </is>
      </c>
      <c r="G18" s="9" t="inlineStr">
        <is>
          <t>이혜원</t>
        </is>
      </c>
      <c r="H18" s="9" t="n"/>
      <c r="I18" s="8" t="n"/>
    </row>
    <row r="19" ht="30" customHeight="1">
      <c r="A19" s="13" t="inlineStr">
        <is>
          <t>2팀</t>
        </is>
      </c>
      <c r="B19" s="14" t="inlineStr">
        <is>
          <t>보조</t>
        </is>
      </c>
      <c r="C19" s="14" t="inlineStr">
        <is>
          <t>9급</t>
        </is>
      </c>
      <c r="D19" s="15" t="inlineStr">
        <is>
          <t>최민석</t>
        </is>
      </c>
      <c r="E19" s="8" t="inlineStr">
        <is>
          <t>기록 편철, 자료 입력</t>
        </is>
      </c>
      <c r="F19" s="8" t="inlineStr">
        <is>
          <t>과 서무(정): 예산·복무·물품</t>
        </is>
      </c>
      <c r="G19" s="9" t="inlineStr">
        <is>
          <t>이준혁</t>
        </is>
      </c>
      <c r="H19" s="9" t="n"/>
      <c r="I19" s="8" t="inlineStr">
        <is>
          <t>멘토: 서정우</t>
        </is>
      </c>
    </row>
    <row r="20" ht="30" customHeight="1">
      <c r="A20" s="13" t="inlineStr">
        <is>
          <t>2팀</t>
        </is>
      </c>
      <c r="B20" s="14" t="inlineStr">
        <is>
          <t>보조</t>
        </is>
      </c>
      <c r="C20" s="14" t="inlineStr">
        <is>
          <t>9급</t>
        </is>
      </c>
      <c r="D20" s="15" t="inlineStr">
        <is>
          <t>김범준</t>
        </is>
      </c>
      <c r="E20" s="8" t="inlineStr">
        <is>
          <t>기록 편철, 자료 입력, 조사 참여</t>
        </is>
      </c>
      <c r="F20" s="8" t="inlineStr">
        <is>
          <t>공문 수발(부)</t>
        </is>
      </c>
      <c r="G20" s="9" t="inlineStr">
        <is>
          <t>최형범</t>
        </is>
      </c>
      <c r="H20" s="9" t="n"/>
      <c r="I20" s="8" t="inlineStr">
        <is>
          <t>멘토: 신재호</t>
        </is>
      </c>
    </row>
    <row r="22">
      <c r="A22" s="16" t="inlineStr">
        <is>
          <t>팀 전담(안): 1팀 = 대기업집단 부당지원(공정거래법 §45①9)·특수관계인 사익편취(§47)·기업범죄 / 2팀 = 불공정거래행위(§45①: 거래상 지위 남용, 부당한 고객유인, 거래거절 등)</t>
        </is>
      </c>
    </row>
    <row r="23">
      <c r="A23" s="16" t="inlineStr">
        <is>
          <t>8·9급(사법경찰리)은 조사 참여·보조까지 맡습니다(중수청법 §17). 주임수사관은 6급과 고참 7급.</t>
        </is>
      </c>
    </row>
    <row r="24">
      <c r="A24" s="16" t="inlineStr">
        <is>
          <t>성명은 명단 순서대로 넣은 임시 배치입니다. 경력을 반영해 바꾸면 ‘4과 인원현황’ 집계가 자동으로 맞춰집니다.</t>
        </is>
      </c>
    </row>
  </sheetData>
  <autoFilter ref="A1:I20"/>
  <dataValidations count="2">
    <dataValidation sqref="A2:A40" showDropDown="0" showInputMessage="0" showErrorMessage="0" allowBlank="0" type="list">
      <formula1>"과 직속,1팀,2팀"</formula1>
    </dataValidation>
    <dataValidation sqref="C2:C40" showDropDown="0" showInputMessage="0" showErrorMessage="0" allowBlank="0" type="list">
      <formula1>"4급,5급,6급,7급,8급,9급"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8" customWidth="1" min="5" max="5"/>
    <col width="10" customWidth="1" min="6" max="6"/>
    <col width="8" customWidth="1" min="7" max="7"/>
  </cols>
  <sheetData>
    <row r="1">
      <c r="A1" s="4" t="inlineStr">
        <is>
          <t>배치 부서</t>
        </is>
      </c>
      <c r="B1" s="4" t="inlineStr">
        <is>
          <t>직급</t>
        </is>
      </c>
      <c r="C1" s="4" t="inlineStr">
        <is>
          <t>성명</t>
        </is>
      </c>
      <c r="D1" s="4" t="inlineStr">
        <is>
          <t>소속 팀(자동)</t>
        </is>
      </c>
    </row>
    <row r="2">
      <c r="A2" s="17" t="inlineStr">
        <is>
          <t>반독점수사4과</t>
        </is>
      </c>
      <c r="B2" s="17" t="inlineStr">
        <is>
          <t>5급 수사관</t>
        </is>
      </c>
      <c r="C2" s="18" t="inlineStr">
        <is>
          <t>윤유승</t>
        </is>
      </c>
      <c r="D2" s="19">
        <f>IFERROR(INDEX('4과 업무분장표'!$A$2:$A$20,MATCH(C2,'4과 업무분장표'!$D$2:$D$20,0)),"미배치")</f>
        <v/>
      </c>
    </row>
    <row r="3">
      <c r="A3" s="17" t="inlineStr">
        <is>
          <t>반독점수사4과</t>
        </is>
      </c>
      <c r="B3" s="17" t="inlineStr">
        <is>
          <t>6급 수사관</t>
        </is>
      </c>
      <c r="C3" s="18" t="inlineStr">
        <is>
          <t>이광진</t>
        </is>
      </c>
      <c r="D3" s="19">
        <f>IFERROR(INDEX('4과 업무분장표'!$A$2:$A$20,MATCH(C3,'4과 업무분장표'!$D$2:$D$20,0)),"미배치")</f>
        <v/>
      </c>
    </row>
    <row r="4">
      <c r="A4" s="17" t="inlineStr">
        <is>
          <t>반독점수사4과</t>
        </is>
      </c>
      <c r="B4" s="17" t="inlineStr">
        <is>
          <t>6급 수사관</t>
        </is>
      </c>
      <c r="C4" s="18" t="inlineStr">
        <is>
          <t>조철민</t>
        </is>
      </c>
      <c r="D4" s="19">
        <f>IFERROR(INDEX('4과 업무분장표'!$A$2:$A$20,MATCH(C4,'4과 업무분장표'!$D$2:$D$20,0)),"미배치")</f>
        <v/>
      </c>
    </row>
    <row r="5">
      <c r="A5" s="17" t="inlineStr">
        <is>
          <t>반독점수사4과</t>
        </is>
      </c>
      <c r="B5" s="17" t="inlineStr">
        <is>
          <t>6급 수사관</t>
        </is>
      </c>
      <c r="C5" s="18" t="inlineStr">
        <is>
          <t>신영일</t>
        </is>
      </c>
      <c r="D5" s="19">
        <f>IFERROR(INDEX('4과 업무분장표'!$A$2:$A$20,MATCH(C5,'4과 업무분장표'!$D$2:$D$20,0)),"미배치")</f>
        <v/>
      </c>
    </row>
    <row r="6">
      <c r="A6" s="17" t="inlineStr">
        <is>
          <t>반독점수사4과</t>
        </is>
      </c>
      <c r="B6" s="17" t="inlineStr">
        <is>
          <t>7급 수사관</t>
        </is>
      </c>
      <c r="C6" s="18" t="inlineStr">
        <is>
          <t>김다미</t>
        </is>
      </c>
      <c r="D6" s="19">
        <f>IFERROR(INDEX('4과 업무분장표'!$A$2:$A$20,MATCH(C6,'4과 업무분장표'!$D$2:$D$20,0)),"미배치")</f>
        <v/>
      </c>
    </row>
    <row r="7">
      <c r="A7" s="17" t="inlineStr">
        <is>
          <t>반독점수사4과</t>
        </is>
      </c>
      <c r="B7" s="17" t="inlineStr">
        <is>
          <t>7급 수사관</t>
        </is>
      </c>
      <c r="C7" s="18" t="inlineStr">
        <is>
          <t>심유민</t>
        </is>
      </c>
      <c r="D7" s="19">
        <f>IFERROR(INDEX('4과 업무분장표'!$A$2:$A$20,MATCH(C7,'4과 업무분장표'!$D$2:$D$20,0)),"미배치")</f>
        <v/>
      </c>
    </row>
    <row r="8">
      <c r="A8" s="17" t="inlineStr">
        <is>
          <t>반독점수사4과</t>
        </is>
      </c>
      <c r="B8" s="17" t="inlineStr">
        <is>
          <t>7급 수사관</t>
        </is>
      </c>
      <c r="C8" s="18" t="inlineStr">
        <is>
          <t>서정우</t>
        </is>
      </c>
      <c r="D8" s="19">
        <f>IFERROR(INDEX('4과 업무분장표'!$A$2:$A$20,MATCH(C8,'4과 업무분장표'!$D$2:$D$20,0)),"미배치")</f>
        <v/>
      </c>
    </row>
    <row r="9">
      <c r="A9" s="17" t="inlineStr">
        <is>
          <t>반독점수사4과</t>
        </is>
      </c>
      <c r="B9" s="17" t="inlineStr">
        <is>
          <t>7급 수사관</t>
        </is>
      </c>
      <c r="C9" s="18" t="inlineStr">
        <is>
          <t>신재호</t>
        </is>
      </c>
      <c r="D9" s="19">
        <f>IFERROR(INDEX('4과 업무분장표'!$A$2:$A$20,MATCH(C9,'4과 업무분장표'!$D$2:$D$20,0)),"미배치")</f>
        <v/>
      </c>
    </row>
    <row r="10">
      <c r="A10" s="17" t="inlineStr">
        <is>
          <t>반독점수사4과</t>
        </is>
      </c>
      <c r="B10" s="17" t="inlineStr">
        <is>
          <t>7급 수사관</t>
        </is>
      </c>
      <c r="C10" s="18" t="inlineStr">
        <is>
          <t>황승현</t>
        </is>
      </c>
      <c r="D10" s="19">
        <f>IFERROR(INDEX('4과 업무분장표'!$A$2:$A$20,MATCH(C10,'4과 업무분장표'!$D$2:$D$20,0)),"미배치")</f>
        <v/>
      </c>
    </row>
    <row r="11">
      <c r="A11" s="17" t="inlineStr">
        <is>
          <t>반독점수사4과</t>
        </is>
      </c>
      <c r="B11" s="17" t="inlineStr">
        <is>
          <t>8급 수사관</t>
        </is>
      </c>
      <c r="C11" s="18" t="inlineStr">
        <is>
          <t>손귀연</t>
        </is>
      </c>
      <c r="D11" s="19">
        <f>IFERROR(INDEX('4과 업무분장표'!$A$2:$A$20,MATCH(C11,'4과 업무분장표'!$D$2:$D$20,0)),"미배치")</f>
        <v/>
      </c>
    </row>
    <row r="12">
      <c r="A12" s="17" t="inlineStr">
        <is>
          <t>반독점수사4과</t>
        </is>
      </c>
      <c r="B12" s="17" t="inlineStr">
        <is>
          <t>8급 수사관</t>
        </is>
      </c>
      <c r="C12" s="18" t="inlineStr">
        <is>
          <t>이혜원</t>
        </is>
      </c>
      <c r="D12" s="19">
        <f>IFERROR(INDEX('4과 업무분장표'!$A$2:$A$20,MATCH(C12,'4과 업무분장표'!$D$2:$D$20,0)),"미배치")</f>
        <v/>
      </c>
    </row>
    <row r="13">
      <c r="A13" s="17" t="inlineStr">
        <is>
          <t>반독점수사4과</t>
        </is>
      </c>
      <c r="B13" s="17" t="inlineStr">
        <is>
          <t>8급 수사관</t>
        </is>
      </c>
      <c r="C13" s="18" t="inlineStr">
        <is>
          <t>박성진</t>
        </is>
      </c>
      <c r="D13" s="19">
        <f>IFERROR(INDEX('4과 업무분장표'!$A$2:$A$20,MATCH(C13,'4과 업무분장표'!$D$2:$D$20,0)),"미배치")</f>
        <v/>
      </c>
    </row>
    <row r="14">
      <c r="A14" s="17" t="inlineStr">
        <is>
          <t>반독점수사4과</t>
        </is>
      </c>
      <c r="B14" s="17" t="inlineStr">
        <is>
          <t>8급 수사관</t>
        </is>
      </c>
      <c r="C14" s="18" t="inlineStr">
        <is>
          <t>김은혜</t>
        </is>
      </c>
      <c r="D14" s="19">
        <f>IFERROR(INDEX('4과 업무분장표'!$A$2:$A$20,MATCH(C14,'4과 업무분장표'!$D$2:$D$20,0)),"미배치")</f>
        <v/>
      </c>
    </row>
    <row r="15">
      <c r="A15" s="17" t="inlineStr">
        <is>
          <t>반독점수사4과</t>
        </is>
      </c>
      <c r="B15" s="17" t="inlineStr">
        <is>
          <t>9급 수사관</t>
        </is>
      </c>
      <c r="C15" s="18" t="inlineStr">
        <is>
          <t>이준혁</t>
        </is>
      </c>
      <c r="D15" s="19">
        <f>IFERROR(INDEX('4과 업무분장표'!$A$2:$A$20,MATCH(C15,'4과 업무분장표'!$D$2:$D$20,0)),"미배치")</f>
        <v/>
      </c>
    </row>
    <row r="16">
      <c r="A16" s="17" t="inlineStr">
        <is>
          <t>반독점수사4과</t>
        </is>
      </c>
      <c r="B16" s="17" t="inlineStr">
        <is>
          <t>9급 수사관</t>
        </is>
      </c>
      <c r="C16" s="18" t="inlineStr">
        <is>
          <t>최형범</t>
        </is>
      </c>
      <c r="D16" s="19">
        <f>IFERROR(INDEX('4과 업무분장표'!$A$2:$A$20,MATCH(C16,'4과 업무분장표'!$D$2:$D$20,0)),"미배치")</f>
        <v/>
      </c>
    </row>
    <row r="17">
      <c r="A17" s="17" t="inlineStr">
        <is>
          <t>반독점수사4과</t>
        </is>
      </c>
      <c r="B17" s="17" t="inlineStr">
        <is>
          <t>9급 수사관</t>
        </is>
      </c>
      <c r="C17" s="18" t="inlineStr">
        <is>
          <t>정수진</t>
        </is>
      </c>
      <c r="D17" s="19">
        <f>IFERROR(INDEX('4과 업무분장표'!$A$2:$A$20,MATCH(C17,'4과 업무분장표'!$D$2:$D$20,0)),"미배치")</f>
        <v/>
      </c>
    </row>
    <row r="18">
      <c r="A18" s="17" t="inlineStr">
        <is>
          <t>반독점수사4과</t>
        </is>
      </c>
      <c r="B18" s="17" t="inlineStr">
        <is>
          <t>9급 수사관</t>
        </is>
      </c>
      <c r="C18" s="18" t="inlineStr">
        <is>
          <t>최민석</t>
        </is>
      </c>
      <c r="D18" s="19">
        <f>IFERROR(INDEX('4과 업무분장표'!$A$2:$A$20,MATCH(C18,'4과 업무분장표'!$D$2:$D$20,0)),"미배치")</f>
        <v/>
      </c>
    </row>
    <row r="19">
      <c r="A19" s="17" t="inlineStr">
        <is>
          <t>반독점수사4과</t>
        </is>
      </c>
      <c r="B19" s="17" t="inlineStr">
        <is>
          <t>9급 수사관</t>
        </is>
      </c>
      <c r="C19" s="18" t="inlineStr">
        <is>
          <t>김범준</t>
        </is>
      </c>
      <c r="D19" s="19">
        <f>IFERROR(INDEX('4과 업무분장표'!$A$2:$A$20,MATCH(C19,'4과 업무분장표'!$D$2:$D$20,0)),"미배치")</f>
        <v/>
      </c>
    </row>
    <row r="21">
      <c r="A21" s="20" t="inlineStr">
        <is>
          <t>팀·직급별 인원 (‘4과 업무분장표’ 기준 자동 집계)</t>
        </is>
      </c>
    </row>
    <row r="22">
      <c r="A22" s="4" t="inlineStr">
        <is>
          <t>직급</t>
        </is>
      </c>
      <c r="B22" s="4" t="inlineStr">
        <is>
          <t>1팀</t>
        </is>
      </c>
      <c r="C22" s="4" t="inlineStr">
        <is>
          <t>2팀</t>
        </is>
      </c>
      <c r="D22" s="4" t="inlineStr">
        <is>
          <t>과 직속</t>
        </is>
      </c>
      <c r="E22" s="4" t="inlineStr">
        <is>
          <t>계</t>
        </is>
      </c>
      <c r="F22" s="4" t="inlineStr">
        <is>
          <t>발령 인원</t>
        </is>
      </c>
      <c r="G22" s="4" t="inlineStr">
        <is>
          <t>차이</t>
        </is>
      </c>
    </row>
    <row r="23">
      <c r="A23" s="18" t="inlineStr">
        <is>
          <t>4급</t>
        </is>
      </c>
      <c r="B23" s="21">
        <f>COUNTIFS('4과 업무분장표'!$A$2:$A$20,"1팀",'4과 업무분장표'!$C$2:$C$20,$A23)</f>
        <v/>
      </c>
      <c r="C23" s="21">
        <f>COUNTIFS('4과 업무분장표'!$A$2:$A$20,"2팀",'4과 업무분장표'!$C$2:$C$20,$A23)</f>
        <v/>
      </c>
      <c r="D23" s="21">
        <f>COUNTIFS('4과 업무분장표'!$A$2:$A$20,"과 직속",'4과 업무분장표'!$C$2:$C$20,$A23)</f>
        <v/>
      </c>
      <c r="E23" s="18">
        <f>SUM(B23:D23)</f>
        <v/>
      </c>
      <c r="F23" s="17">
        <f>COUNTIF($B$2:$B$19,$A23&amp;" 수사관")+IF($A23="4급",1,0)</f>
        <v/>
      </c>
      <c r="G23" s="22">
        <f>E23-F23</f>
        <v/>
      </c>
    </row>
    <row r="24">
      <c r="A24" s="18" t="inlineStr">
        <is>
          <t>5급</t>
        </is>
      </c>
      <c r="B24" s="21">
        <f>COUNTIFS('4과 업무분장표'!$A$2:$A$20,"1팀",'4과 업무분장표'!$C$2:$C$20,$A24)</f>
        <v/>
      </c>
      <c r="C24" s="21">
        <f>COUNTIFS('4과 업무분장표'!$A$2:$A$20,"2팀",'4과 업무분장표'!$C$2:$C$20,$A24)</f>
        <v/>
      </c>
      <c r="D24" s="21">
        <f>COUNTIFS('4과 업무분장표'!$A$2:$A$20,"과 직속",'4과 업무분장표'!$C$2:$C$20,$A24)</f>
        <v/>
      </c>
      <c r="E24" s="18">
        <f>SUM(B24:D24)</f>
        <v/>
      </c>
      <c r="F24" s="17">
        <f>COUNTIF($B$2:$B$19,$A24&amp;" 수사관")+IF($A24="4급",1,0)</f>
        <v/>
      </c>
      <c r="G24" s="22">
        <f>E24-F24</f>
        <v/>
      </c>
    </row>
    <row r="25">
      <c r="A25" s="18" t="inlineStr">
        <is>
          <t>6급</t>
        </is>
      </c>
      <c r="B25" s="21">
        <f>COUNTIFS('4과 업무분장표'!$A$2:$A$20,"1팀",'4과 업무분장표'!$C$2:$C$20,$A25)</f>
        <v/>
      </c>
      <c r="C25" s="21">
        <f>COUNTIFS('4과 업무분장표'!$A$2:$A$20,"2팀",'4과 업무분장표'!$C$2:$C$20,$A25)</f>
        <v/>
      </c>
      <c r="D25" s="21">
        <f>COUNTIFS('4과 업무분장표'!$A$2:$A$20,"과 직속",'4과 업무분장표'!$C$2:$C$20,$A25)</f>
        <v/>
      </c>
      <c r="E25" s="18">
        <f>SUM(B25:D25)</f>
        <v/>
      </c>
      <c r="F25" s="17">
        <f>COUNTIF($B$2:$B$19,$A25&amp;" 수사관")+IF($A25="4급",1,0)</f>
        <v/>
      </c>
      <c r="G25" s="22">
        <f>E25-F25</f>
        <v/>
      </c>
    </row>
    <row r="26">
      <c r="A26" s="18" t="inlineStr">
        <is>
          <t>7급</t>
        </is>
      </c>
      <c r="B26" s="21">
        <f>COUNTIFS('4과 업무분장표'!$A$2:$A$20,"1팀",'4과 업무분장표'!$C$2:$C$20,$A26)</f>
        <v/>
      </c>
      <c r="C26" s="21">
        <f>COUNTIFS('4과 업무분장표'!$A$2:$A$20,"2팀",'4과 업무분장표'!$C$2:$C$20,$A26)</f>
        <v/>
      </c>
      <c r="D26" s="21">
        <f>COUNTIFS('4과 업무분장표'!$A$2:$A$20,"과 직속",'4과 업무분장표'!$C$2:$C$20,$A26)</f>
        <v/>
      </c>
      <c r="E26" s="18">
        <f>SUM(B26:D26)</f>
        <v/>
      </c>
      <c r="F26" s="17">
        <f>COUNTIF($B$2:$B$19,$A26&amp;" 수사관")+IF($A26="4급",1,0)</f>
        <v/>
      </c>
      <c r="G26" s="22">
        <f>E26-F26</f>
        <v/>
      </c>
    </row>
    <row r="27">
      <c r="A27" s="18" t="inlineStr">
        <is>
          <t>8급</t>
        </is>
      </c>
      <c r="B27" s="21">
        <f>COUNTIFS('4과 업무분장표'!$A$2:$A$20,"1팀",'4과 업무분장표'!$C$2:$C$20,$A27)</f>
        <v/>
      </c>
      <c r="C27" s="21">
        <f>COUNTIFS('4과 업무분장표'!$A$2:$A$20,"2팀",'4과 업무분장표'!$C$2:$C$20,$A27)</f>
        <v/>
      </c>
      <c r="D27" s="21">
        <f>COUNTIFS('4과 업무분장표'!$A$2:$A$20,"과 직속",'4과 업무분장표'!$C$2:$C$20,$A27)</f>
        <v/>
      </c>
      <c r="E27" s="18">
        <f>SUM(B27:D27)</f>
        <v/>
      </c>
      <c r="F27" s="17">
        <f>COUNTIF($B$2:$B$19,$A27&amp;" 수사관")+IF($A27="4급",1,0)</f>
        <v/>
      </c>
      <c r="G27" s="22">
        <f>E27-F27</f>
        <v/>
      </c>
    </row>
    <row r="28">
      <c r="A28" s="18" t="inlineStr">
        <is>
          <t>9급</t>
        </is>
      </c>
      <c r="B28" s="21">
        <f>COUNTIFS('4과 업무분장표'!$A$2:$A$20,"1팀",'4과 업무분장표'!$C$2:$C$20,$A28)</f>
        <v/>
      </c>
      <c r="C28" s="21">
        <f>COUNTIFS('4과 업무분장표'!$A$2:$A$20,"2팀",'4과 업무분장표'!$C$2:$C$20,$A28)</f>
        <v/>
      </c>
      <c r="D28" s="21">
        <f>COUNTIFS('4과 업무분장표'!$A$2:$A$20,"과 직속",'4과 업무분장표'!$C$2:$C$20,$A28)</f>
        <v/>
      </c>
      <c r="E28" s="18">
        <f>SUM(B28:D28)</f>
        <v/>
      </c>
      <c r="F28" s="17">
        <f>COUNTIF($B$2:$B$19,$A28&amp;" 수사관")+IF($A28="4급",1,0)</f>
        <v/>
      </c>
      <c r="G28" s="22">
        <f>E28-F28</f>
        <v/>
      </c>
    </row>
    <row r="29">
      <c r="A29" s="23" t="inlineStr">
        <is>
          <t>계</t>
        </is>
      </c>
      <c r="B29" s="24">
        <f>SUM(B23:B28)</f>
        <v/>
      </c>
      <c r="C29" s="24">
        <f>SUM(C23:C28)</f>
        <v/>
      </c>
      <c r="D29" s="24">
        <f>SUM(D23:D28)</f>
        <v/>
      </c>
      <c r="E29" s="24">
        <f>SUM(E23:E28)</f>
        <v/>
      </c>
      <c r="F29" s="24">
        <f>SUM(F23:F28)</f>
        <v/>
      </c>
      <c r="G29" s="25">
        <f>SUM(G23:G28)</f>
        <v/>
      </c>
    </row>
    <row r="30">
      <c r="A30" s="16" t="inlineStr">
        <is>
          <t>발령 인원의 4급은 과장 1명(명단 외)을 더한 값입니다. ‘차이’가 ✓이면 분장표와 명단 인원이 일치합니다.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52" customWidth="1" min="4" max="4"/>
    <col width="26" customWidth="1" min="5" max="5"/>
  </cols>
  <sheetData>
    <row r="1">
      <c r="A1" s="4" t="inlineStr">
        <is>
          <t>과 공통 업무</t>
        </is>
      </c>
      <c r="B1" s="4" t="inlineStr">
        <is>
          <t>정</t>
        </is>
      </c>
      <c r="C1" s="4" t="inlineStr">
        <is>
          <t>부</t>
        </is>
      </c>
      <c r="D1" s="4" t="inlineStr">
        <is>
          <t>내용</t>
        </is>
      </c>
      <c r="E1" s="4" t="inlineStr">
        <is>
          <t>연계 부서</t>
        </is>
      </c>
    </row>
    <row r="2" ht="28" customHeight="1">
      <c r="A2" s="26" t="inlineStr">
        <is>
          <t>수사기획·관계기관 협의</t>
        </is>
      </c>
      <c r="B2" s="9" t="inlineStr">
        <is>
          <t>윤유승</t>
        </is>
      </c>
      <c r="C2" s="9" t="inlineStr">
        <is>
          <t>조철민</t>
        </is>
      </c>
      <c r="D2" s="27" t="inlineStr">
        <is>
          <t>과 수사계획, 공정위·국 협의, 국 회의 대응</t>
        </is>
      </c>
      <c r="E2" s="27" t="inlineStr">
        <is>
          <t>반독점수사국, 공정거래위원회</t>
        </is>
      </c>
    </row>
    <row r="3" ht="28" customHeight="1">
      <c r="A3" s="26" t="inlineStr">
        <is>
          <t>자금·회계 분석</t>
        </is>
      </c>
      <c r="B3" s="9" t="inlineStr">
        <is>
          <t>이광진</t>
        </is>
      </c>
      <c r="C3" s="9" t="inlineStr">
        <is>
          <t>신영일</t>
        </is>
      </c>
      <c r="D3" s="27" t="inlineStr">
        <is>
          <t>계열사 간 거래, 부당이익 산정, 자금흐름</t>
        </is>
      </c>
      <c r="E3" s="27" t="inlineStr">
        <is>
          <t>본청 자금추적·회계분석과</t>
        </is>
      </c>
    </row>
    <row r="4" ht="28" customHeight="1">
      <c r="A4" s="26" t="inlineStr">
        <is>
          <t>의결서·심결례 분석</t>
        </is>
      </c>
      <c r="B4" s="9" t="inlineStr">
        <is>
          <t>신영일</t>
        </is>
      </c>
      <c r="C4" s="9" t="inlineStr">
        <is>
          <t>이광진</t>
        </is>
      </c>
      <c r="D4" s="27" t="inlineStr">
        <is>
          <t>공정위 의결서·심결례 검토, 수사기법 정리</t>
        </is>
      </c>
      <c r="E4" s="27" t="inlineStr">
        <is>
          <t>—</t>
        </is>
      </c>
    </row>
    <row r="5" ht="28" customHeight="1">
      <c r="A5" s="26" t="inlineStr">
        <is>
          <t>사건관리·영장·통계</t>
        </is>
      </c>
      <c r="B5" s="9" t="inlineStr">
        <is>
          <t>김다미</t>
        </is>
      </c>
      <c r="C5" s="9" t="inlineStr">
        <is>
          <t>황승현</t>
        </is>
      </c>
      <c r="D5" s="27" t="inlineStr">
        <is>
          <t>사건 접수·진행 관리, 영장 신청 관리, 사건 통계</t>
        </is>
      </c>
      <c r="E5" s="27" t="inlineStr">
        <is>
          <t>사무국 사건과</t>
        </is>
      </c>
    </row>
    <row r="6" ht="28" customHeight="1">
      <c r="A6" s="26" t="inlineStr">
        <is>
          <t>디지털증거 선별</t>
        </is>
      </c>
      <c r="B6" s="9" t="inlineStr">
        <is>
          <t>신재호</t>
        </is>
      </c>
      <c r="C6" s="9" t="inlineStr">
        <is>
          <t>심유민</t>
        </is>
      </c>
      <c r="D6" s="27" t="inlineStr">
        <is>
          <t>압수 전자자료 검색·선별, 분석 의뢰</t>
        </is>
      </c>
      <c r="E6" s="27" t="inlineStr">
        <is>
          <t>사무국 과학수사지원과</t>
        </is>
      </c>
    </row>
    <row r="7" ht="28" customHeight="1">
      <c r="A7" s="26" t="inlineStr">
        <is>
          <t>사건 경계 협의</t>
        </is>
      </c>
      <c r="B7" s="9" t="inlineStr">
        <is>
          <t>서정우</t>
        </is>
      </c>
      <c r="C7" s="9" t="inlineStr">
        <is>
          <t>김다미</t>
        </is>
      </c>
      <c r="D7" s="27" t="inlineStr">
        <is>
          <t>횡령·배임 동반 사건 주관 협의, 범죄수익 환수 요청</t>
        </is>
      </c>
      <c r="E7" s="27" t="inlineStr">
        <is>
          <t>경제범죄수사국, 범죄수익수사과</t>
        </is>
      </c>
    </row>
    <row r="8" ht="28" customHeight="1">
      <c r="A8" s="26" t="inlineStr">
        <is>
          <t>압수물·기록 관리</t>
        </is>
      </c>
      <c r="B8" s="9" t="inlineStr">
        <is>
          <t>손귀연</t>
        </is>
      </c>
      <c r="C8" s="9" t="inlineStr">
        <is>
          <t>박성진</t>
        </is>
      </c>
      <c r="D8" s="27" t="inlineStr">
        <is>
          <t>압수물 목록·보관·인계, 수사기록 편철 점검</t>
        </is>
      </c>
      <c r="E8" s="27" t="inlineStr">
        <is>
          <t>사무국 증거기록과</t>
        </is>
      </c>
    </row>
    <row r="9" ht="28" customHeight="1">
      <c r="A9" s="26" t="inlineStr">
        <is>
          <t>과 서무</t>
        </is>
      </c>
      <c r="B9" s="9" t="inlineStr">
        <is>
          <t>최민석</t>
        </is>
      </c>
      <c r="C9" s="9" t="inlineStr">
        <is>
          <t>이준혁</t>
        </is>
      </c>
      <c r="D9" s="27" t="inlineStr">
        <is>
          <t>예산·복무·물품, 과 회의 자료</t>
        </is>
      </c>
      <c r="E9" s="27" t="inlineStr">
        <is>
          <t>사무국 총무과</t>
        </is>
      </c>
    </row>
    <row r="10" ht="28" customHeight="1">
      <c r="A10" s="26" t="inlineStr">
        <is>
          <t>공문 수발</t>
        </is>
      </c>
      <c r="B10" s="9" t="inlineStr">
        <is>
          <t>최형범</t>
        </is>
      </c>
      <c r="C10" s="9" t="inlineStr">
        <is>
          <t>김범준</t>
        </is>
      </c>
      <c r="D10" s="27" t="inlineStr">
        <is>
          <t>공문 접수·발송, 문서 등록</t>
        </is>
      </c>
      <c r="E10" s="27" t="inlineStr">
        <is>
          <t>—</t>
        </is>
      </c>
    </row>
    <row r="12">
      <c r="A12" s="16" t="inlineStr">
        <is>
          <t>정·부를 서로 다른 팀으로 지정해, 한 팀이 대형 사건에 묶여도 공통 업무가 멈추지 않게 했습니다. 국 전체 서무는 1과, 당직·호송은 사무국 수사지원과 업무라 제외(시행규칙 §18② 단서, §15⑤).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0" customWidth="1" min="2" max="2"/>
    <col width="26" customWidth="1" min="3" max="3"/>
  </cols>
  <sheetData>
    <row r="1">
      <c r="A1" s="4" t="inlineStr">
        <is>
          <t>구분</t>
        </is>
      </c>
      <c r="B1" s="4" t="inlineStr">
        <is>
          <t>내용</t>
        </is>
      </c>
      <c r="C1" s="4" t="inlineStr">
        <is>
          <t>근거</t>
        </is>
      </c>
    </row>
    <row r="2" ht="32" customHeight="1">
      <c r="A2" s="28" t="inlineStr">
        <is>
          <t>기본 사건</t>
        </is>
      </c>
      <c r="B2" s="27" t="inlineStr">
        <is>
          <t>공정거래법 §124·§125 위반 사건 중 국에서 4과에 배당한 사건</t>
        </is>
      </c>
      <c r="C2" s="27" t="inlineStr">
        <is>
          <t>시행규칙 §18②, §7④</t>
        </is>
      </c>
    </row>
    <row r="3" ht="32" customHeight="1">
      <c r="A3" s="28" t="inlineStr">
        <is>
          <t>4과 전담(안) – 1팀</t>
        </is>
      </c>
      <c r="B3" s="27" t="inlineStr">
        <is>
          <t>대기업집단 부당지원(§45①9), 특수관계인 부당이익제공·사익편취(§47), 관련 기업범죄</t>
        </is>
      </c>
      <c r="C3" s="27" t="inlineStr">
        <is>
          <t>국 분장 건의안</t>
        </is>
      </c>
    </row>
    <row r="4" ht="32" customHeight="1">
      <c r="A4" s="28" t="inlineStr">
        <is>
          <t>4과 전담(안) – 2팀</t>
        </is>
      </c>
      <c r="B4" s="27" t="inlineStr">
        <is>
          <t>불공정거래행위(§45①): 거래상 지위 남용, 부당한 고객유인, 거래거절, 차별적 취급 등</t>
        </is>
      </c>
      <c r="C4" s="27" t="inlineStr">
        <is>
          <t>국 분장 건의안</t>
        </is>
      </c>
    </row>
    <row r="5" ht="32" customHeight="1">
      <c r="A5" s="28" t="inlineStr">
        <is>
          <t>고발·수사의뢰 사건</t>
        </is>
      </c>
      <c r="B5" s="27" t="inlineStr">
        <is>
          <t>개별 법률에 따라 국가기관이 중수청에 고발·수사의뢰한 사건 중 공정거래·기업범죄</t>
        </is>
      </c>
      <c r="C5" s="27" t="inlineStr">
        <is>
          <t>중수청법 §2 2호 나목</t>
        </is>
      </c>
    </row>
    <row r="6" ht="32" customHeight="1">
      <c r="A6" s="28" t="inlineStr">
        <is>
          <t>관련 사건</t>
        </is>
      </c>
      <c r="B6" s="27" t="inlineStr">
        <is>
          <t>직접 관련성이 있어 청장이 명하는 사건(범인은닉·증거인멸·위증, 수단·결과 관계 범죄 등)</t>
        </is>
      </c>
      <c r="C6" s="27" t="inlineStr">
        <is>
          <t>시행규칙 §18②, 시행령 §2</t>
        </is>
      </c>
    </row>
    <row r="7" ht="32" customHeight="1">
      <c r="A7" s="28" t="inlineStr">
        <is>
          <t>부수 업무</t>
        </is>
      </c>
      <c r="B7" s="27" t="inlineStr">
        <is>
          <t>범죄수법 조사·연구 및 공조, 정보·자료 수집·관리, 유관기관 협조</t>
        </is>
      </c>
      <c r="C7" s="27" t="inlineStr">
        <is>
          <t>시행규칙 §18② 2~5호</t>
        </is>
      </c>
    </row>
    <row r="8" ht="32" customHeight="1">
      <c r="A8" s="28" t="inlineStr">
        <is>
          <t>제외</t>
        </is>
      </c>
      <c r="B8" s="27" t="inlineStr">
        <is>
          <t>국 전체 서무·‘그 밖의 사항’(1과), 당직·호송·소재수사(사무국 수사지원과)</t>
        </is>
      </c>
      <c r="C8" s="27" t="inlineStr">
        <is>
          <t>시행규칙 §18② 단서, §15⑤</t>
        </is>
      </c>
    </row>
    <row r="9" ht="32" customHeight="1">
      <c r="A9" s="28" t="inlineStr">
        <is>
          <t>확인 필요</t>
        </is>
      </c>
      <c r="B9" s="27" t="inlineStr">
        <is>
          <t>조문 번호는 2020년 전부개정 공정거래법 기준. 공정위 전속고발(§129) 사건의 중수청 접수 방식은 미확인</t>
        </is>
      </c>
      <c r="C9" s="27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30" customWidth="1" min="4" max="4"/>
    <col width="24" customWidth="1" min="5" max="5"/>
    <col width="22" customWidth="1" min="6" max="6"/>
  </cols>
  <sheetData>
    <row r="1">
      <c r="A1" s="4" t="inlineStr">
        <is>
          <t>단계</t>
        </is>
      </c>
      <c r="B1" s="4" t="inlineStr">
        <is>
          <t>과장</t>
        </is>
      </c>
      <c r="C1" s="4" t="inlineStr">
        <is>
          <t>5급·6급(팀장·주임)</t>
        </is>
      </c>
      <c r="D1" s="4" t="inlineStr">
        <is>
          <t>7급</t>
        </is>
      </c>
      <c r="E1" s="4" t="inlineStr">
        <is>
          <t>8급</t>
        </is>
      </c>
      <c r="F1" s="4" t="inlineStr">
        <is>
          <t>9급</t>
        </is>
      </c>
    </row>
    <row r="2" ht="36" customHeight="1">
      <c r="A2" s="18" t="inlineStr">
        <is>
          <t>접수·검토</t>
        </is>
      </c>
      <c r="B2" s="27" t="inlineStr">
        <is>
          <t>배당</t>
        </is>
      </c>
      <c r="C2" s="27" t="inlineStr">
        <is>
          <t>의결서·고발장 검토, 수사계획 작성</t>
        </is>
      </c>
      <c r="D2" s="27" t="inlineStr">
        <is>
          <t>기초 자료 수집, 법인·계열사 현황 정리</t>
        </is>
      </c>
      <c r="E2" s="27" t="inlineStr">
        <is>
          <t>사건 등록, 기록 편철</t>
        </is>
      </c>
      <c r="F2" s="27" t="inlineStr">
        <is>
          <t>자료 입력, 공문 수발</t>
        </is>
      </c>
    </row>
    <row r="3" ht="36" customHeight="1">
      <c r="A3" s="18" t="inlineStr">
        <is>
          <t>강제수사</t>
        </is>
      </c>
      <c r="B3" s="27" t="inlineStr">
        <is>
          <t>영장 결재, 국장 보고</t>
        </is>
      </c>
      <c r="C3" s="27" t="inlineStr">
        <is>
          <t>영장 신청서 작성, 현장 지휘</t>
        </is>
      </c>
      <c r="D3" s="27" t="inlineStr">
        <is>
          <t>현장 압수수색 실행</t>
        </is>
      </c>
      <c r="E3" s="27" t="inlineStr">
        <is>
          <t>압수물 목록 작성</t>
        </is>
      </c>
      <c r="F3" s="27" t="inlineStr">
        <is>
          <t>압수물 운반·정리</t>
        </is>
      </c>
    </row>
    <row r="4" ht="36" customHeight="1">
      <c r="A4" s="18" t="inlineStr">
        <is>
          <t>분석</t>
        </is>
      </c>
      <c r="B4" s="27" t="inlineStr">
        <is>
          <t>진행 점검</t>
        </is>
      </c>
      <c r="C4" s="27" t="inlineStr">
        <is>
          <t>쟁점 정리, 경제·자금 분석</t>
        </is>
      </c>
      <c r="D4" s="27" t="inlineStr">
        <is>
          <t>전자자료 검색·선별, 거래자료 분석</t>
        </is>
      </c>
      <c r="E4" s="27" t="inlineStr">
        <is>
          <t>분석 자료 정리</t>
        </is>
      </c>
      <c r="F4" s="27" t="inlineStr">
        <is>
          <t>엑셀 입력, 자료 대조</t>
        </is>
      </c>
    </row>
    <row r="5" ht="36" customHeight="1">
      <c r="A5" s="18" t="inlineStr">
        <is>
          <t>조사</t>
        </is>
      </c>
      <c r="B5" s="27" t="inlineStr">
        <is>
          <t>주요 피의자 조사 방침</t>
        </is>
      </c>
      <c r="C5" s="27" t="inlineStr">
        <is>
          <t>핵심 피의자 조사</t>
        </is>
      </c>
      <c r="D5" s="27" t="inlineStr">
        <is>
          <t>참고인·실무자 조사</t>
        </is>
      </c>
      <c r="E5" s="27" t="inlineStr">
        <is>
          <t>조사 참여</t>
        </is>
      </c>
      <c r="F5" s="27" t="inlineStr">
        <is>
          <t>조사 참여(보조)</t>
        </is>
      </c>
    </row>
    <row r="6" ht="36" customHeight="1">
      <c r="A6" s="18" t="inlineStr">
        <is>
          <t>종결</t>
        </is>
      </c>
      <c r="B6" s="27" t="inlineStr">
        <is>
          <t>최종 결재</t>
        </is>
      </c>
      <c r="C6" s="27" t="inlineStr">
        <is>
          <t>의견서 작성</t>
        </is>
      </c>
      <c r="D6" s="27" t="inlineStr">
        <is>
          <t>의견서 초안 일부, 증거목록</t>
        </is>
      </c>
      <c r="E6" s="27" t="inlineStr">
        <is>
          <t>기록 정리, 송치 준비</t>
        </is>
      </c>
      <c r="F6" s="27" t="inlineStr">
        <is>
          <t>기록 편철·인계</t>
        </is>
      </c>
    </row>
    <row r="8">
      <c r="A8" s="16" t="inlineStr">
        <is>
          <t>7급 이상은 사법경찰관, 8급 이하는 사법경찰리(중수청법 §17).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38" customWidth="1" min="4" max="4"/>
    <col width="44" customWidth="1" min="5" max="5"/>
  </cols>
  <sheetData>
    <row r="1">
      <c r="A1" s="4" t="inlineStr">
        <is>
          <t>과</t>
        </is>
      </c>
      <c r="B1" s="4" t="inlineStr">
        <is>
          <t>전담 분야(안)</t>
        </is>
      </c>
      <c r="C1" s="4" t="inlineStr">
        <is>
          <t>1팀(사무관)</t>
        </is>
      </c>
      <c r="D1" s="4" t="inlineStr">
        <is>
          <t>2팀(선임 6급)</t>
        </is>
      </c>
      <c r="E1" s="4" t="inlineStr">
        <is>
          <t>비고</t>
        </is>
      </c>
    </row>
    <row r="2" ht="34" customHeight="1">
      <c r="A2" s="29" t="inlineStr">
        <is>
          <t>1과</t>
        </is>
      </c>
      <c r="B2" s="30" t="inlineStr">
        <is>
          <t>공공 입찰담합 + 국 기획·서무</t>
        </is>
      </c>
      <c r="C2" s="8" t="inlineStr">
        <is>
          <t>공공기관·조달 입찰담합</t>
        </is>
      </c>
      <c r="D2" s="8" t="inlineStr">
        <is>
          <t>입찰담합 일반 + 국 서무·통계 겸임</t>
        </is>
      </c>
      <c r="E2" s="8" t="inlineStr">
        <is>
          <t>‘그 밖의 사항’과 관리운영 1명은 1과(§18② 단서)</t>
        </is>
      </c>
    </row>
    <row r="3" ht="34" customHeight="1">
      <c r="A3" s="29" t="inlineStr">
        <is>
          <t>2과</t>
        </is>
      </c>
      <c r="B3" s="30" t="inlineStr">
        <is>
          <t>민간 담합</t>
        </is>
      </c>
      <c r="C3" s="8" t="inlineStr">
        <is>
          <t>가격·물량 담합(제조·소재)</t>
        </is>
      </c>
      <c r="D3" s="8" t="inlineStr">
        <is>
          <t>건설·서비스 담합, 자진신고(리니언시) 사건</t>
        </is>
      </c>
      <c r="E3" s="8" t="inlineStr">
        <is>
          <t>압수수색 규모가 가장 큰 과</t>
        </is>
      </c>
    </row>
    <row r="4" ht="34" customHeight="1">
      <c r="A4" s="29" t="inlineStr">
        <is>
          <t>3과</t>
        </is>
      </c>
      <c r="B4" s="30" t="inlineStr">
        <is>
          <t>시장지배적 지위 남용</t>
        </is>
      </c>
      <c r="C4" s="8" t="inlineStr">
        <is>
          <t>독과점 사업자 남용(§5)</t>
        </is>
      </c>
      <c r="D4" s="8" t="inlineStr">
        <is>
          <t>플랫폼·IT 분야 남용·배타조건</t>
        </is>
      </c>
      <c r="E4" s="8" t="inlineStr">
        <is>
          <t>경제분석 수요가 큼</t>
        </is>
      </c>
    </row>
    <row r="5" ht="34" customHeight="1">
      <c r="A5" s="29" t="inlineStr">
        <is>
          <t>4과</t>
        </is>
      </c>
      <c r="B5" s="30" t="inlineStr">
        <is>
          <t>불공정거래·대기업집단</t>
        </is>
      </c>
      <c r="C5" s="8" t="inlineStr">
        <is>
          <t>부당지원·사익편취(§45①9, §47), 기업범죄</t>
        </is>
      </c>
      <c r="D5" s="8" t="inlineStr">
        <is>
          <t>불공정거래행위(§45①)</t>
        </is>
      </c>
      <c r="E5" s="8" t="inlineStr">
        <is>
          <t>기업범죄는 경제범죄수사국과 경계 조율</t>
        </is>
      </c>
    </row>
    <row r="7">
      <c r="A7" s="16" t="inlineStr">
        <is>
          <t>운영 원칙: ① 사건이 몰리면 국장이 재배당(분기별 과별 사건 수 점검) ② 대형 사건은 주관 과 + 지원 과 합동 ③ 국 공통 업무(국 회의 간사, 공정위 정기 협의, 수사기법 공유)는 각 과 1팀장이 돌아가며 담당</t>
        </is>
      </c>
    </row>
    <row r="8">
      <c r="A8" s="16" t="inlineStr">
        <is>
          <t>과 사이 구체적 분장은 청장이 정합니다(시행규칙 §18②). 이 표는 국 건의용 초안입니다.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8" customWidth="1" min="8" max="8"/>
    <col width="56" customWidth="1" min="9" max="9"/>
  </cols>
  <sheetData>
    <row r="1">
      <c r="A1" s="4" t="inlineStr">
        <is>
          <t>과</t>
        </is>
      </c>
      <c r="B1" s="4" t="inlineStr">
        <is>
          <t>팀</t>
        </is>
      </c>
      <c r="C1" s="4" t="inlineStr">
        <is>
          <t>5급</t>
        </is>
      </c>
      <c r="D1" s="4" t="inlineStr">
        <is>
          <t>6급</t>
        </is>
      </c>
      <c r="E1" s="4" t="inlineStr">
        <is>
          <t>7급</t>
        </is>
      </c>
      <c r="F1" s="4" t="inlineStr">
        <is>
          <t>8급</t>
        </is>
      </c>
      <c r="G1" s="4" t="inlineStr">
        <is>
          <t>9급</t>
        </is>
      </c>
      <c r="H1" s="4" t="inlineStr">
        <is>
          <t>계</t>
        </is>
      </c>
      <c r="I1" s="4" t="inlineStr">
        <is>
          <t>과별 조정 사항</t>
        </is>
      </c>
    </row>
    <row r="2">
      <c r="A2" s="18" t="inlineStr">
        <is>
          <t>1과</t>
        </is>
      </c>
      <c r="B2" s="17" t="inlineStr">
        <is>
          <t>1팀 (팀장 사무관)</t>
        </is>
      </c>
      <c r="C2" s="31" t="n">
        <v>1</v>
      </c>
      <c r="D2" s="31" t="n">
        <v>1</v>
      </c>
      <c r="E2" s="31" t="n">
        <v>2</v>
      </c>
      <c r="F2" s="31" t="n">
        <v>2</v>
      </c>
      <c r="G2" s="31" t="n">
        <v>3</v>
      </c>
      <c r="H2" s="18">
        <f>SUM(C2:G2)</f>
        <v/>
      </c>
      <c r="I2" s="27" t="inlineStr">
        <is>
          <t>2팀 9급 1명은 국 서무 전담(예산·복무·국 통계·국회 자료). 관리운영 1명은 국장 보좌.</t>
        </is>
      </c>
    </row>
    <row r="3">
      <c r="A3" s="18" t="inlineStr">
        <is>
          <t>1과</t>
        </is>
      </c>
      <c r="B3" s="17" t="inlineStr">
        <is>
          <t>2팀 (팀장 6급)</t>
        </is>
      </c>
      <c r="C3" s="31" t="n">
        <v>0</v>
      </c>
      <c r="D3" s="31" t="n">
        <v>2</v>
      </c>
      <c r="E3" s="31" t="n">
        <v>3</v>
      </c>
      <c r="F3" s="31" t="n">
        <v>2</v>
      </c>
      <c r="G3" s="31" t="n">
        <v>2</v>
      </c>
      <c r="H3" s="18">
        <f>SUM(C3:G3)</f>
        <v/>
      </c>
      <c r="I3" s="27" t="n"/>
    </row>
    <row r="4">
      <c r="A4" s="23" t="inlineStr">
        <is>
          <t>1과</t>
        </is>
      </c>
      <c r="B4" s="32" t="inlineStr">
        <is>
          <t>과 계(과장 제외)</t>
        </is>
      </c>
      <c r="C4" s="23">
        <f>C2+C3</f>
        <v/>
      </c>
      <c r="D4" s="23">
        <f>D2+D3</f>
        <v/>
      </c>
      <c r="E4" s="23">
        <f>E2+E3</f>
        <v/>
      </c>
      <c r="F4" s="23">
        <f>F2+F3</f>
        <v/>
      </c>
      <c r="G4" s="23">
        <f>G2+G3</f>
        <v/>
      </c>
      <c r="H4" s="23">
        <f>H2+H3</f>
        <v/>
      </c>
      <c r="I4" s="33" t="n"/>
    </row>
    <row r="5">
      <c r="A5" s="18" t="inlineStr">
        <is>
          <t>2과</t>
        </is>
      </c>
      <c r="B5" s="17" t="inlineStr">
        <is>
          <t>1팀 (팀장 사무관)</t>
        </is>
      </c>
      <c r="C5" s="31" t="n">
        <v>1</v>
      </c>
      <c r="D5" s="31" t="n">
        <v>1</v>
      </c>
      <c r="E5" s="31" t="n">
        <v>2</v>
      </c>
      <c r="F5" s="31" t="n">
        <v>2</v>
      </c>
      <c r="G5" s="31" t="n">
        <v>3</v>
      </c>
      <c r="H5" s="18">
        <f>SUM(C5:G5)</f>
        <v/>
      </c>
      <c r="I5" s="27" t="inlineStr">
        <is>
          <t>압수물 관리 부담이 커서 1팀 8급 +1, 2팀 9급 −1 맞교환 검토.</t>
        </is>
      </c>
    </row>
    <row r="6">
      <c r="A6" s="18" t="inlineStr">
        <is>
          <t>2과</t>
        </is>
      </c>
      <c r="B6" s="17" t="inlineStr">
        <is>
          <t>2팀 (팀장 6급)</t>
        </is>
      </c>
      <c r="C6" s="31" t="n">
        <v>0</v>
      </c>
      <c r="D6" s="31" t="n">
        <v>2</v>
      </c>
      <c r="E6" s="31" t="n">
        <v>3</v>
      </c>
      <c r="F6" s="31" t="n">
        <v>2</v>
      </c>
      <c r="G6" s="31" t="n">
        <v>2</v>
      </c>
      <c r="H6" s="18">
        <f>SUM(C6:G6)</f>
        <v/>
      </c>
      <c r="I6" s="27" t="n"/>
    </row>
    <row r="7">
      <c r="A7" s="23" t="inlineStr">
        <is>
          <t>2과</t>
        </is>
      </c>
      <c r="B7" s="32" t="inlineStr">
        <is>
          <t>과 계(과장 제외)</t>
        </is>
      </c>
      <c r="C7" s="23">
        <f>C5+C6</f>
        <v/>
      </c>
      <c r="D7" s="23">
        <f>D5+D6</f>
        <v/>
      </c>
      <c r="E7" s="23">
        <f>E5+E6</f>
        <v/>
      </c>
      <c r="F7" s="23">
        <f>F5+F6</f>
        <v/>
      </c>
      <c r="G7" s="23">
        <f>G5+G6</f>
        <v/>
      </c>
      <c r="H7" s="23">
        <f>H5+H6</f>
        <v/>
      </c>
      <c r="I7" s="33" t="n"/>
    </row>
    <row r="8">
      <c r="A8" s="18" t="inlineStr">
        <is>
          <t>3과</t>
        </is>
      </c>
      <c r="B8" s="17" t="inlineStr">
        <is>
          <t>1팀 (팀장 사무관)</t>
        </is>
      </c>
      <c r="C8" s="31" t="n">
        <v>1</v>
      </c>
      <c r="D8" s="31" t="n">
        <v>1</v>
      </c>
      <c r="E8" s="31" t="n">
        <v>2</v>
      </c>
      <c r="F8" s="31" t="n">
        <v>2</v>
      </c>
      <c r="G8" s="31" t="n">
        <v>3</v>
      </c>
      <c r="H8" s="18">
        <f>SUM(C8:G8)</f>
        <v/>
      </c>
      <c r="I8" s="27" t="inlineStr">
        <is>
          <t>6급 1명을 경제분석 전담(시장 획정·점유율·경쟁제한성)으로 지정.</t>
        </is>
      </c>
    </row>
    <row r="9">
      <c r="A9" s="18" t="inlineStr">
        <is>
          <t>3과</t>
        </is>
      </c>
      <c r="B9" s="17" t="inlineStr">
        <is>
          <t>2팀 (팀장 6급)</t>
        </is>
      </c>
      <c r="C9" s="31" t="n">
        <v>0</v>
      </c>
      <c r="D9" s="31" t="n">
        <v>2</v>
      </c>
      <c r="E9" s="31" t="n">
        <v>3</v>
      </c>
      <c r="F9" s="31" t="n">
        <v>2</v>
      </c>
      <c r="G9" s="31" t="n">
        <v>2</v>
      </c>
      <c r="H9" s="18">
        <f>SUM(C9:G9)</f>
        <v/>
      </c>
      <c r="I9" s="27" t="n"/>
    </row>
    <row r="10">
      <c r="A10" s="23" t="inlineStr">
        <is>
          <t>3과</t>
        </is>
      </c>
      <c r="B10" s="32" t="inlineStr">
        <is>
          <t>과 계(과장 제외)</t>
        </is>
      </c>
      <c r="C10" s="23">
        <f>C8+C9</f>
        <v/>
      </c>
      <c r="D10" s="23">
        <f>D8+D9</f>
        <v/>
      </c>
      <c r="E10" s="23">
        <f>E8+E9</f>
        <v/>
      </c>
      <c r="F10" s="23">
        <f>F8+F9</f>
        <v/>
      </c>
      <c r="G10" s="23">
        <f>G8+G9</f>
        <v/>
      </c>
      <c r="H10" s="23">
        <f>H8+H9</f>
        <v/>
      </c>
      <c r="I10" s="33" t="n"/>
    </row>
    <row r="12">
      <c r="A12" s="16" t="inlineStr">
        <is>
          <t>1~3과는 4과와 같은 구성(과장 1, 5급 1, 6급 3, 7급 5, 8급 4, 9급 5)으로 가정했습니다. 실제 발령 인원으로 노란 칸을 고치세요.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2026-10-02T05:15:36Z</dcterms:created>
  <dcterms:modified xmlns:dcterms="http://purl.org/dc/terms/" xmlns:xsi="http://www.w3.org/2001/XMLSchema-instance" xsi:type="dcterms:W3CDTF">2026-10-02T05:15:36Z</dcterms:modified>
</cp:coreProperties>
</file>